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CMD_DB\"/>
    </mc:Choice>
  </mc:AlternateContent>
  <xr:revisionPtr revIDLastSave="0" documentId="13_ncr:1_{4853162C-2258-4DE6-BC33-3A49AAD48399}" xr6:coauthVersionLast="47" xr6:coauthVersionMax="47" xr10:uidLastSave="{00000000-0000-0000-0000-000000000000}"/>
  <bookViews>
    <workbookView xWindow="-46188" yWindow="-12924" windowWidth="44712" windowHeight="26136" tabRatio="884" xr2:uid="{00000000-000D-0000-FFFF-FFFF00000000}"/>
  </bookViews>
  <sheets>
    <sheet name="Utility" sheetId="7" r:id="rId1"/>
    <sheet name="CMD_DB" sheetId="19" r:id="rId2"/>
    <sheet name="BCT" sheetId="18" r:id="rId3"/>
    <sheet name="ブランク" sheetId="3" state="hidden" r:id="rId4"/>
    <sheet name="CMD_STRUCTURE" sheetId="16" r:id="rId5"/>
    <sheet name="CONV_TABLE" sheetId="5" r:id="rId6"/>
    <sheet name="Temp_CMD_DB" sheetId="9" r:id="rId7"/>
    <sheet name="Temp_BCT" sheetId="10" r:id="rId8"/>
  </sheets>
  <definedNames>
    <definedName name="APIDName">CONV_TABLE!$C$10</definedName>
    <definedName name="ParamNotationName">CONV_TABLE!$C$24:$C$29</definedName>
    <definedName name="ParamTypeName">CONV_TABLE!$C$13:$C$21</definedName>
    <definedName name="TargetName">CONV_TABLE!$C$32:$C$41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8" i="7" l="1"/>
  <c r="D28" i="7"/>
  <c r="D27" i="7"/>
  <c r="C27" i="7"/>
  <c r="E27" i="7" s="1"/>
  <c r="E26" i="7"/>
  <c r="D26" i="7"/>
  <c r="E25" i="7"/>
  <c r="D25" i="7"/>
  <c r="E24" i="7"/>
  <c r="D24" i="7"/>
  <c r="E23" i="7"/>
  <c r="D23" i="7"/>
  <c r="E22" i="7"/>
  <c r="D22" i="7"/>
  <c r="E21" i="7"/>
  <c r="D21" i="7"/>
  <c r="E20" i="7"/>
  <c r="D20" i="7"/>
  <c r="E19" i="7"/>
  <c r="D19" i="7"/>
  <c r="E18" i="7"/>
  <c r="D18" i="7"/>
  <c r="C18" i="7"/>
  <c r="E17" i="7"/>
  <c r="D17" i="7"/>
  <c r="C17" i="7"/>
  <c r="E16" i="7"/>
  <c r="D16" i="7"/>
  <c r="C16" i="7"/>
  <c r="E15" i="7"/>
  <c r="D15" i="7"/>
  <c r="C15" i="7"/>
  <c r="E14" i="7"/>
  <c r="D14" i="7"/>
  <c r="E13" i="7"/>
  <c r="D13" i="7"/>
  <c r="E12" i="7"/>
  <c r="D12" i="7"/>
  <c r="C12" i="7"/>
  <c r="E11" i="7"/>
  <c r="D11" i="7"/>
  <c r="E10" i="7"/>
  <c r="D10" i="7"/>
  <c r="C10" i="7"/>
  <c r="E9" i="7"/>
  <c r="D9" i="7"/>
  <c r="C9" i="7"/>
</calcChain>
</file>

<file path=xl/sharedStrings.xml><?xml version="1.0" encoding="utf-8"?>
<sst xmlns="http://schemas.openxmlformats.org/spreadsheetml/2006/main" count="337" uniqueCount="246">
  <si>
    <t>*</t>
    <phoneticPr fontId="13"/>
  </si>
  <si>
    <t>Table</t>
    <phoneticPr fontId="13"/>
  </si>
  <si>
    <t>ﾃｰﾌﾞﾙ名称</t>
    <rPh sb="5" eb="7">
      <t>メイショウ</t>
    </rPh>
    <phoneticPr fontId="13"/>
  </si>
  <si>
    <t>ﾃﾞｰﾀ型</t>
    <rPh sb="4" eb="5">
      <t>ガタ</t>
    </rPh>
    <phoneticPr fontId="13"/>
  </si>
  <si>
    <t>値1</t>
    <rPh sb="0" eb="1">
      <t>アタイ</t>
    </rPh>
    <phoneticPr fontId="13"/>
  </si>
  <si>
    <t>値１の名称</t>
    <rPh sb="0" eb="1">
      <t>アタイ</t>
    </rPh>
    <rPh sb="3" eb="5">
      <t>メイショウ</t>
    </rPh>
    <phoneticPr fontId="13"/>
  </si>
  <si>
    <t>*Table</t>
    <phoneticPr fontId="13"/>
  </si>
  <si>
    <t>値１の説明</t>
    <rPh sb="0" eb="1">
      <t>アタイ</t>
    </rPh>
    <rPh sb="3" eb="5">
      <t>セツメイ</t>
    </rPh>
    <phoneticPr fontId="13"/>
  </si>
  <si>
    <t>ﾃｰﾌﾞﾙの説明</t>
    <rPh sb="6" eb="8">
      <t>セツメイ</t>
    </rPh>
    <phoneticPr fontId="13"/>
  </si>
  <si>
    <t>ﾃｰﾌﾞﾙ書式</t>
    <rPh sb="5" eb="7">
      <t>ショシキ</t>
    </rPh>
    <phoneticPr fontId="13"/>
  </si>
  <si>
    <t>Description</t>
    <phoneticPr fontId="13"/>
  </si>
  <si>
    <t>Name</t>
    <phoneticPr fontId="13"/>
  </si>
  <si>
    <t>ｸﾘﾃｨｶﾙｺﾏﾝﾄﾞ識別</t>
  </si>
  <si>
    <r>
      <t>疑似ｽﾃｰﾀｽﾃﾚﾒﾄﾘ</t>
    </r>
    <r>
      <rPr>
        <sz val="11"/>
        <rFont val="ＭＳ ゴシック"/>
        <family val="3"/>
        <charset val="128"/>
      </rPr>
      <t>ID</t>
    </r>
  </si>
  <si>
    <t>Spare</t>
  </si>
  <si>
    <t>ﾌﾘｰﾌﾗｲﾄ</t>
  </si>
  <si>
    <t>係留中</t>
  </si>
  <si>
    <t>ﾊｻﾞﾀﾞｽｺﾏﾝﾄﾞの有無</t>
  </si>
  <si>
    <t>ﾌﾗｲﾄ中</t>
  </si>
  <si>
    <r>
      <t>ﾃﾚﾒﾄﾘ</t>
    </r>
    <r>
      <rPr>
        <sz val="11"/>
        <rFont val="ＭＳ ゴシック"/>
        <family val="3"/>
        <charset val="128"/>
      </rPr>
      <t>ID</t>
    </r>
  </si>
  <si>
    <t>ﾃﾚﾒﾄﾘ略称</t>
  </si>
  <si>
    <t>基準ｽﾃｰﾀｽ</t>
  </si>
  <si>
    <r>
      <t>ｺﾏﾝﾄﾞ</t>
    </r>
    <r>
      <rPr>
        <sz val="11"/>
        <rFont val="ＭＳ ゴシック"/>
        <family val="3"/>
        <charset val="128"/>
      </rPr>
      <t>ID</t>
    </r>
  </si>
  <si>
    <t>コﾏﾝﾄﾞ略称</t>
  </si>
  <si>
    <t>ｺﾏﾝﾄﾞ名称</t>
  </si>
  <si>
    <t>ｺﾝﾎﾟｰﾈﾝﾄ略称</t>
  </si>
  <si>
    <t>電気的ﾃﾞｰﾀﾀｲﾌﾟ</t>
  </si>
  <si>
    <t>Header Data</t>
  </si>
  <si>
    <r>
      <t>ﾊﾟﾗﾒｰﾀ設定内容</t>
    </r>
    <r>
      <rPr>
        <sz val="11"/>
        <rFont val="ＭＳ ゴシック"/>
        <family val="3"/>
        <charset val="128"/>
      </rPr>
      <t>1</t>
    </r>
  </si>
  <si>
    <r>
      <t>ﾊﾟﾗﾒｰﾀﾀｲﾌﾟ</t>
    </r>
    <r>
      <rPr>
        <sz val="11"/>
        <rFont val="ＭＳ ゴシック"/>
        <family val="3"/>
        <charset val="128"/>
      </rPr>
      <t>1</t>
    </r>
  </si>
  <si>
    <r>
      <t>入力桁数</t>
    </r>
    <r>
      <rPr>
        <sz val="11"/>
        <rFont val="ＭＳ ゴシック"/>
        <family val="3"/>
        <charset val="128"/>
      </rPr>
      <t>1</t>
    </r>
  </si>
  <si>
    <r>
      <t>変換ﾀｲﾌﾟ</t>
    </r>
    <r>
      <rPr>
        <sz val="11"/>
        <rFont val="ＭＳ ゴシック"/>
        <family val="3"/>
        <charset val="128"/>
      </rPr>
      <t>1</t>
    </r>
  </si>
  <si>
    <r>
      <t>格納型</t>
    </r>
    <r>
      <rPr>
        <sz val="11"/>
        <rFont val="ＭＳ ゴシック"/>
        <family val="3"/>
        <charset val="128"/>
      </rPr>
      <t>1</t>
    </r>
  </si>
  <si>
    <r>
      <t>最小値</t>
    </r>
    <r>
      <rPr>
        <sz val="11"/>
        <rFont val="ＭＳ ゴシック"/>
        <family val="3"/>
        <charset val="128"/>
      </rPr>
      <t>1</t>
    </r>
  </si>
  <si>
    <r>
      <t>最大値</t>
    </r>
    <r>
      <rPr>
        <sz val="11"/>
        <rFont val="ＭＳ ゴシック"/>
        <family val="3"/>
        <charset val="128"/>
      </rPr>
      <t>1</t>
    </r>
  </si>
  <si>
    <r>
      <t>単位</t>
    </r>
    <r>
      <rPr>
        <sz val="11"/>
        <rFont val="ＭＳ ゴシック"/>
        <family val="3"/>
        <charset val="128"/>
      </rPr>
      <t>1</t>
    </r>
  </si>
  <si>
    <r>
      <t>ﾊﾟﾗﾒｰﾀ設定内容</t>
    </r>
    <r>
      <rPr>
        <sz val="11"/>
        <rFont val="ＭＳ ゴシック"/>
        <family val="3"/>
        <charset val="128"/>
      </rPr>
      <t>2</t>
    </r>
  </si>
  <si>
    <r>
      <t>ﾊﾟﾗﾒｰﾀﾀｲﾌﾟ</t>
    </r>
    <r>
      <rPr>
        <sz val="11"/>
        <rFont val="ＭＳ ゴシック"/>
        <family val="3"/>
        <charset val="128"/>
      </rPr>
      <t>2</t>
    </r>
  </si>
  <si>
    <r>
      <t>入力桁数</t>
    </r>
    <r>
      <rPr>
        <sz val="11"/>
        <rFont val="ＭＳ ゴシック"/>
        <family val="3"/>
        <charset val="128"/>
      </rPr>
      <t>2</t>
    </r>
  </si>
  <si>
    <r>
      <t>変換ﾀｲﾌﾟ</t>
    </r>
    <r>
      <rPr>
        <sz val="11"/>
        <rFont val="ＭＳ ゴシック"/>
        <family val="3"/>
        <charset val="128"/>
      </rPr>
      <t>2</t>
    </r>
  </si>
  <si>
    <r>
      <t>格納型</t>
    </r>
    <r>
      <rPr>
        <sz val="11"/>
        <rFont val="ＭＳ ゴシック"/>
        <family val="3"/>
        <charset val="128"/>
      </rPr>
      <t>2</t>
    </r>
  </si>
  <si>
    <r>
      <t>最小値</t>
    </r>
    <r>
      <rPr>
        <sz val="11"/>
        <rFont val="ＭＳ ゴシック"/>
        <family val="3"/>
        <charset val="128"/>
      </rPr>
      <t>2</t>
    </r>
  </si>
  <si>
    <r>
      <t>最大値</t>
    </r>
    <r>
      <rPr>
        <sz val="11"/>
        <rFont val="ＭＳ ゴシック"/>
        <family val="3"/>
        <charset val="128"/>
      </rPr>
      <t>2</t>
    </r>
  </si>
  <si>
    <r>
      <t>単位</t>
    </r>
    <r>
      <rPr>
        <sz val="11"/>
        <rFont val="ＭＳ ゴシック"/>
        <family val="3"/>
        <charset val="128"/>
      </rPr>
      <t>2</t>
    </r>
  </si>
  <si>
    <r>
      <t>ﾊﾟﾗﾒｰﾀ設定内容</t>
    </r>
    <r>
      <rPr>
        <sz val="11"/>
        <rFont val="ＭＳ ゴシック"/>
        <family val="3"/>
        <charset val="128"/>
      </rPr>
      <t>3</t>
    </r>
  </si>
  <si>
    <r>
      <t>ﾊﾟﾗﾒｰﾀﾀｲﾌﾟ</t>
    </r>
    <r>
      <rPr>
        <sz val="11"/>
        <rFont val="ＭＳ ゴシック"/>
        <family val="3"/>
        <charset val="128"/>
      </rPr>
      <t>3</t>
    </r>
  </si>
  <si>
    <r>
      <t>入力桁数</t>
    </r>
    <r>
      <rPr>
        <sz val="11"/>
        <rFont val="ＭＳ ゴシック"/>
        <family val="3"/>
        <charset val="128"/>
      </rPr>
      <t>3</t>
    </r>
  </si>
  <si>
    <r>
      <t>変換ﾀｲﾌﾟ</t>
    </r>
    <r>
      <rPr>
        <sz val="11"/>
        <rFont val="ＭＳ ゴシック"/>
        <family val="3"/>
        <charset val="128"/>
      </rPr>
      <t>3</t>
    </r>
  </si>
  <si>
    <r>
      <t>格納型</t>
    </r>
    <r>
      <rPr>
        <sz val="11"/>
        <rFont val="ＭＳ ゴシック"/>
        <family val="3"/>
        <charset val="128"/>
      </rPr>
      <t>3</t>
    </r>
  </si>
  <si>
    <r>
      <t>最小値</t>
    </r>
    <r>
      <rPr>
        <sz val="11"/>
        <rFont val="ＭＳ ゴシック"/>
        <family val="3"/>
        <charset val="128"/>
      </rPr>
      <t>3</t>
    </r>
  </si>
  <si>
    <r>
      <t>最大値</t>
    </r>
    <r>
      <rPr>
        <sz val="11"/>
        <rFont val="ＭＳ ゴシック"/>
        <family val="3"/>
        <charset val="128"/>
      </rPr>
      <t>3</t>
    </r>
  </si>
  <si>
    <r>
      <t>単位</t>
    </r>
    <r>
      <rPr>
        <sz val="11"/>
        <rFont val="ＭＳ ゴシック"/>
        <family val="3"/>
        <charset val="128"/>
      </rPr>
      <t>3</t>
    </r>
  </si>
  <si>
    <r>
      <t>ﾊﾟﾗﾒｰﾀ設定内容</t>
    </r>
    <r>
      <rPr>
        <sz val="11"/>
        <rFont val="ＭＳ ゴシック"/>
        <family val="3"/>
        <charset val="128"/>
      </rPr>
      <t>4</t>
    </r>
  </si>
  <si>
    <r>
      <t>ﾊﾟﾗﾒｰﾀﾀｲﾌﾟ</t>
    </r>
    <r>
      <rPr>
        <sz val="11"/>
        <rFont val="ＭＳ ゴシック"/>
        <family val="3"/>
        <charset val="128"/>
      </rPr>
      <t>4</t>
    </r>
  </si>
  <si>
    <r>
      <t>入力桁数</t>
    </r>
    <r>
      <rPr>
        <sz val="11"/>
        <rFont val="ＭＳ ゴシック"/>
        <family val="3"/>
        <charset val="128"/>
      </rPr>
      <t>4</t>
    </r>
  </si>
  <si>
    <r>
      <t>変換ﾀｲﾌﾟ</t>
    </r>
    <r>
      <rPr>
        <sz val="11"/>
        <rFont val="ＭＳ ゴシック"/>
        <family val="3"/>
        <charset val="128"/>
      </rPr>
      <t>4</t>
    </r>
  </si>
  <si>
    <r>
      <t>格納型</t>
    </r>
    <r>
      <rPr>
        <sz val="11"/>
        <rFont val="ＭＳ ゴシック"/>
        <family val="3"/>
        <charset val="128"/>
      </rPr>
      <t>4</t>
    </r>
  </si>
  <si>
    <r>
      <t>最小値</t>
    </r>
    <r>
      <rPr>
        <sz val="11"/>
        <rFont val="ＭＳ ゴシック"/>
        <family val="3"/>
        <charset val="128"/>
      </rPr>
      <t>4</t>
    </r>
  </si>
  <si>
    <r>
      <t>最大値</t>
    </r>
    <r>
      <rPr>
        <sz val="11"/>
        <rFont val="ＭＳ ゴシック"/>
        <family val="3"/>
        <charset val="128"/>
      </rPr>
      <t>4</t>
    </r>
  </si>
  <si>
    <r>
      <t>単位</t>
    </r>
    <r>
      <rPr>
        <sz val="11"/>
        <rFont val="ＭＳ ゴシック"/>
        <family val="3"/>
        <charset val="128"/>
      </rPr>
      <t>4</t>
    </r>
  </si>
  <si>
    <r>
      <t>ﾊﾟﾗﾒｰﾀ設定内容</t>
    </r>
    <r>
      <rPr>
        <sz val="11"/>
        <rFont val="ＭＳ ゴシック"/>
        <family val="3"/>
        <charset val="128"/>
      </rPr>
      <t>5</t>
    </r>
  </si>
  <si>
    <r>
      <t>ﾊﾟﾗﾒｰﾀﾀｲﾌﾟ</t>
    </r>
    <r>
      <rPr>
        <sz val="11"/>
        <rFont val="ＭＳ ゴシック"/>
        <family val="3"/>
        <charset val="128"/>
      </rPr>
      <t>5</t>
    </r>
  </si>
  <si>
    <r>
      <t>入力桁数</t>
    </r>
    <r>
      <rPr>
        <sz val="11"/>
        <rFont val="ＭＳ ゴシック"/>
        <family val="3"/>
        <charset val="128"/>
      </rPr>
      <t>5</t>
    </r>
  </si>
  <si>
    <r>
      <t>変換ﾀｲﾌﾟ</t>
    </r>
    <r>
      <rPr>
        <sz val="11"/>
        <rFont val="ＭＳ ゴシック"/>
        <family val="3"/>
        <charset val="128"/>
      </rPr>
      <t>5</t>
    </r>
  </si>
  <si>
    <r>
      <t>格納型</t>
    </r>
    <r>
      <rPr>
        <sz val="11"/>
        <rFont val="ＭＳ ゴシック"/>
        <family val="3"/>
        <charset val="128"/>
      </rPr>
      <t>5</t>
    </r>
  </si>
  <si>
    <r>
      <t>最小値</t>
    </r>
    <r>
      <rPr>
        <sz val="11"/>
        <rFont val="ＭＳ ゴシック"/>
        <family val="3"/>
        <charset val="128"/>
      </rPr>
      <t>5</t>
    </r>
  </si>
  <si>
    <r>
      <t>最大値</t>
    </r>
    <r>
      <rPr>
        <sz val="11"/>
        <rFont val="ＭＳ ゴシック"/>
        <family val="3"/>
        <charset val="128"/>
      </rPr>
      <t>5</t>
    </r>
  </si>
  <si>
    <r>
      <t>単位</t>
    </r>
    <r>
      <rPr>
        <sz val="11"/>
        <rFont val="ＭＳ ゴシック"/>
        <family val="3"/>
        <charset val="128"/>
      </rPr>
      <t>5</t>
    </r>
  </si>
  <si>
    <r>
      <t>ﾊﾟﾗﾒｰﾀ設定内容</t>
    </r>
    <r>
      <rPr>
        <sz val="11"/>
        <rFont val="ＭＳ ゴシック"/>
        <family val="3"/>
        <charset val="128"/>
      </rPr>
      <t>6</t>
    </r>
  </si>
  <si>
    <r>
      <t>ﾊﾟﾗﾒｰﾀﾀｲﾌﾟ</t>
    </r>
    <r>
      <rPr>
        <sz val="11"/>
        <rFont val="ＭＳ ゴシック"/>
        <family val="3"/>
        <charset val="128"/>
      </rPr>
      <t>6</t>
    </r>
  </si>
  <si>
    <r>
      <t>入力桁数</t>
    </r>
    <r>
      <rPr>
        <sz val="11"/>
        <rFont val="ＭＳ ゴシック"/>
        <family val="3"/>
        <charset val="128"/>
      </rPr>
      <t>6</t>
    </r>
  </si>
  <si>
    <r>
      <t>変換ﾀｲﾌﾟ</t>
    </r>
    <r>
      <rPr>
        <sz val="11"/>
        <rFont val="ＭＳ ゴシック"/>
        <family val="3"/>
        <charset val="128"/>
      </rPr>
      <t>6</t>
    </r>
  </si>
  <si>
    <r>
      <t>格納型</t>
    </r>
    <r>
      <rPr>
        <sz val="11"/>
        <rFont val="ＭＳ ゴシック"/>
        <family val="3"/>
        <charset val="128"/>
      </rPr>
      <t>6</t>
    </r>
  </si>
  <si>
    <r>
      <t>最小値</t>
    </r>
    <r>
      <rPr>
        <sz val="11"/>
        <rFont val="ＭＳ ゴシック"/>
        <family val="3"/>
        <charset val="128"/>
      </rPr>
      <t>6</t>
    </r>
  </si>
  <si>
    <r>
      <t>最大値</t>
    </r>
    <r>
      <rPr>
        <sz val="11"/>
        <rFont val="ＭＳ ゴシック"/>
        <family val="3"/>
        <charset val="128"/>
      </rPr>
      <t>6</t>
    </r>
  </si>
  <si>
    <r>
      <t>単位</t>
    </r>
    <r>
      <rPr>
        <sz val="11"/>
        <rFont val="ＭＳ ゴシック"/>
        <family val="3"/>
        <charset val="128"/>
      </rPr>
      <t>6</t>
    </r>
  </si>
  <si>
    <t>ｻｸｾｽﾍﾞﾘﾌｧｲ</t>
  </si>
  <si>
    <r>
      <t>関連</t>
    </r>
    <r>
      <rPr>
        <sz val="11"/>
        <rFont val="ＭＳ ゴシック"/>
        <family val="3"/>
        <charset val="128"/>
      </rPr>
      <t>CMD</t>
    </r>
  </si>
  <si>
    <r>
      <t>関連</t>
    </r>
    <r>
      <rPr>
        <sz val="11"/>
        <rFont val="ＭＳ ゴシック"/>
        <family val="3"/>
        <charset val="128"/>
      </rPr>
      <t>TLM</t>
    </r>
  </si>
  <si>
    <t>備考</t>
  </si>
  <si>
    <t>Engeneering Name</t>
  </si>
  <si>
    <t>Engeneering ID</t>
  </si>
  <si>
    <t>改訂理由</t>
  </si>
  <si>
    <t>APID Extention</t>
  </si>
  <si>
    <t>Command Code</t>
  </si>
  <si>
    <t>D-cmd Card No.</t>
  </si>
  <si>
    <t>D-cmd CH No.</t>
  </si>
  <si>
    <t>SM-cmd CH No.</t>
  </si>
  <si>
    <t>User Data</t>
  </si>
  <si>
    <t>User Data Length</t>
  </si>
  <si>
    <r>
      <t>参照ﾃﾚﾒﾄﾘ</t>
    </r>
    <r>
      <rPr>
        <sz val="11"/>
        <rFont val="ＭＳ ゴシック"/>
        <family val="3"/>
        <charset val="128"/>
      </rPr>
      <t>ID</t>
    </r>
  </si>
  <si>
    <t>参照ﾃﾚﾒﾄﾘ略称</t>
  </si>
  <si>
    <t>基準値</t>
  </si>
  <si>
    <t>ﾁｪｯｸ開始時間</t>
  </si>
  <si>
    <t>ﾁｪｯｸ期間</t>
  </si>
  <si>
    <t>実行有無</t>
  </si>
  <si>
    <t>ADD/DEL Flg</t>
  </si>
  <si>
    <t>ｻﾌﾞｼｽﾃﾑ略称</t>
  </si>
  <si>
    <r>
      <t>機能説明</t>
    </r>
    <r>
      <rPr>
        <sz val="11"/>
        <rFont val="ＭＳ ゴシック"/>
        <family val="3"/>
        <charset val="128"/>
      </rPr>
      <t>English</t>
    </r>
  </si>
  <si>
    <t>機能説明</t>
  </si>
  <si>
    <t>ﾕｰｻﾞﾃﾞｰﾀ</t>
  </si>
  <si>
    <r>
      <t>ｴﾝﾃﾞｨｱﾝ</t>
    </r>
    <r>
      <rPr>
        <sz val="11"/>
        <rFont val="ＭＳ ゴシック"/>
        <family val="3"/>
        <charset val="128"/>
      </rPr>
      <t>1</t>
    </r>
  </si>
  <si>
    <r>
      <t>ｴﾝﾃﾞｨｱﾝ</t>
    </r>
    <r>
      <rPr>
        <sz val="11"/>
        <rFont val="ＭＳ ゴシック"/>
        <family val="3"/>
        <charset val="128"/>
      </rPr>
      <t>2</t>
    </r>
  </si>
  <si>
    <r>
      <t>ｴﾝﾃﾞｨｱﾝ</t>
    </r>
    <r>
      <rPr>
        <sz val="11"/>
        <rFont val="ＭＳ ゴシック"/>
        <family val="3"/>
        <charset val="128"/>
      </rPr>
      <t>3</t>
    </r>
  </si>
  <si>
    <r>
      <t>ｴﾝﾃﾞｨｱﾝ</t>
    </r>
    <r>
      <rPr>
        <sz val="11"/>
        <rFont val="ＭＳ ゴシック"/>
        <family val="3"/>
        <charset val="128"/>
      </rPr>
      <t>4</t>
    </r>
  </si>
  <si>
    <r>
      <t>ｴﾝﾃﾞｨｱﾝ</t>
    </r>
    <r>
      <rPr>
        <sz val="11"/>
        <rFont val="ＭＳ ゴシック"/>
        <family val="3"/>
        <charset val="128"/>
      </rPr>
      <t>5</t>
    </r>
  </si>
  <si>
    <r>
      <t>ｴﾝﾃﾞｨｱﾝ</t>
    </r>
    <r>
      <rPr>
        <sz val="11"/>
        <rFont val="ＭＳ ゴシック"/>
        <family val="3"/>
        <charset val="128"/>
      </rPr>
      <t>6</t>
    </r>
  </si>
  <si>
    <r>
      <t>ストアード許可</t>
    </r>
    <r>
      <rPr>
        <sz val="11"/>
        <rFont val="ＭＳ ゴシック"/>
        <family val="3"/>
        <charset val="128"/>
      </rPr>
      <t>/</t>
    </r>
    <r>
      <rPr>
        <sz val="11"/>
        <rFont val="DejaVu LGC Sans"/>
        <family val="3"/>
      </rPr>
      <t>禁止</t>
    </r>
  </si>
  <si>
    <t>SPUI</t>
  </si>
  <si>
    <t>GPUI</t>
  </si>
  <si>
    <t>Ops Name</t>
  </si>
  <si>
    <t>ｸﾙｰ送信ｺﾏﾝﾄﾞ</t>
  </si>
  <si>
    <t>PCS</t>
  </si>
  <si>
    <t>ﾊｻﾞﾀﾞｽｺﾏﾝﾄﾞ識別</t>
  </si>
  <si>
    <t>送信前ﾁｪｯｸ</t>
  </si>
  <si>
    <t>Comment</t>
    <phoneticPr fontId="13"/>
  </si>
  <si>
    <t>Param1</t>
    <phoneticPr fontId="13"/>
  </si>
  <si>
    <t>Param2</t>
    <phoneticPr fontId="13"/>
  </si>
  <si>
    <t>Type</t>
    <phoneticPr fontId="13"/>
  </si>
  <si>
    <t>int8_t</t>
    <phoneticPr fontId="13"/>
  </si>
  <si>
    <t>int16_t</t>
    <phoneticPr fontId="13"/>
  </si>
  <si>
    <t>uint16_t</t>
    <phoneticPr fontId="13"/>
  </si>
  <si>
    <t>int32_t</t>
    <phoneticPr fontId="13"/>
  </si>
  <si>
    <t>uint8_t</t>
    <phoneticPr fontId="13"/>
  </si>
  <si>
    <t>uint32_t</t>
    <phoneticPr fontId="13"/>
  </si>
  <si>
    <t>float</t>
    <phoneticPr fontId="13"/>
  </si>
  <si>
    <t>double</t>
    <phoneticPr fontId="13"/>
  </si>
  <si>
    <t>パラメータ型指定</t>
    <rPh sb="5" eb="8">
      <t>カタシテイ</t>
    </rPh>
    <phoneticPr fontId="13"/>
  </si>
  <si>
    <t>単精度浮動小数</t>
    <rPh sb="0" eb="3">
      <t>タンセイド</t>
    </rPh>
    <rPh sb="3" eb="7">
      <t>フドウショウスウ</t>
    </rPh>
    <phoneticPr fontId="13"/>
  </si>
  <si>
    <t>倍精度浮動小数</t>
    <rPh sb="0" eb="3">
      <t>バイセイド</t>
    </rPh>
    <rPh sb="3" eb="7">
      <t>フドウショウスウ</t>
    </rPh>
    <phoneticPr fontId="13"/>
  </si>
  <si>
    <t>IEEE 754 倍精度浮動小数</t>
    <rPh sb="9" eb="12">
      <t>バイセイド</t>
    </rPh>
    <rPh sb="12" eb="16">
      <t>フドウショウスウ</t>
    </rPh>
    <phoneticPr fontId="13"/>
  </si>
  <si>
    <t>IEEE 754 単精度浮動小数</t>
    <rPh sb="9" eb="12">
      <t>タンセイド</t>
    </rPh>
    <rPh sb="12" eb="16">
      <t>フドウショウスウ</t>
    </rPh>
    <phoneticPr fontId="13"/>
  </si>
  <si>
    <t>ParamTypeCode</t>
    <phoneticPr fontId="14"/>
  </si>
  <si>
    <t>ParamNotationCode</t>
    <phoneticPr fontId="14"/>
  </si>
  <si>
    <t>ParamNotationName</t>
    <phoneticPr fontId="13"/>
  </si>
  <si>
    <t>パラメータ表記法指定</t>
    <rPh sb="5" eb="7">
      <t>ヒョウキ</t>
    </rPh>
    <rPh sb="7" eb="8">
      <t>ホウ</t>
    </rPh>
    <rPh sb="8" eb="10">
      <t>シテイ</t>
    </rPh>
    <phoneticPr fontId="13"/>
  </si>
  <si>
    <t>UINT</t>
    <phoneticPr fontId="13"/>
  </si>
  <si>
    <t>SINT</t>
    <phoneticPr fontId="13"/>
  </si>
  <si>
    <t>FLOAT</t>
    <phoneticPr fontId="13"/>
  </si>
  <si>
    <t>DOUBLE</t>
    <phoneticPr fontId="13"/>
  </si>
  <si>
    <t>HEXBINARY</t>
    <phoneticPr fontId="13"/>
  </si>
  <si>
    <t>PLAIN</t>
    <phoneticPr fontId="13"/>
  </si>
  <si>
    <t>ParamTypeName</t>
    <phoneticPr fontId="13"/>
  </si>
  <si>
    <t>符号なし8bit整数</t>
    <rPh sb="0" eb="2">
      <t>フゴウ</t>
    </rPh>
    <rPh sb="8" eb="10">
      <t>セイスウ</t>
    </rPh>
    <phoneticPr fontId="13"/>
  </si>
  <si>
    <t>符号なし16bit整数</t>
    <rPh sb="0" eb="2">
      <t>フゴウ</t>
    </rPh>
    <rPh sb="9" eb="11">
      <t>セイスウ</t>
    </rPh>
    <phoneticPr fontId="13"/>
  </si>
  <si>
    <t>符号なし32bit整数</t>
    <rPh sb="0" eb="2">
      <t>フゴウ</t>
    </rPh>
    <rPh sb="9" eb="11">
      <t>セイスウ</t>
    </rPh>
    <phoneticPr fontId="13"/>
  </si>
  <si>
    <t>APID</t>
    <phoneticPr fontId="14"/>
  </si>
  <si>
    <t>APIDName</t>
    <phoneticPr fontId="13"/>
  </si>
  <si>
    <t>0x210</t>
    <phoneticPr fontId="13"/>
  </si>
  <si>
    <t>OBC</t>
    <phoneticPr fontId="13"/>
  </si>
  <si>
    <t>符号あり整数</t>
    <rPh sb="0" eb="2">
      <t>フゴウ</t>
    </rPh>
    <rPh sb="4" eb="6">
      <t>セイスウ</t>
    </rPh>
    <phoneticPr fontId="13"/>
  </si>
  <si>
    <t>符号なし整数</t>
    <rPh sb="0" eb="2">
      <t>フゴウ</t>
    </rPh>
    <rPh sb="4" eb="6">
      <t>セイスウ</t>
    </rPh>
    <phoneticPr fontId="13"/>
  </si>
  <si>
    <t>16進表記</t>
    <rPh sb="2" eb="3">
      <t>シン</t>
    </rPh>
    <rPh sb="3" eb="5">
      <t>ヒョウキ</t>
    </rPh>
    <phoneticPr fontId="13"/>
  </si>
  <si>
    <t>文字列？</t>
    <rPh sb="0" eb="3">
      <t>モジレツ</t>
    </rPh>
    <phoneticPr fontId="13"/>
  </si>
  <si>
    <t>Application Process ID</t>
    <phoneticPr fontId="13"/>
  </si>
  <si>
    <t>符号あり8bit整数</t>
    <rPh sb="0" eb="2">
      <t>フゴウ</t>
    </rPh>
    <rPh sb="8" eb="10">
      <t>セイスウ</t>
    </rPh>
    <phoneticPr fontId="13"/>
  </si>
  <si>
    <t>符号あり16bit整数</t>
    <rPh sb="0" eb="2">
      <t>フゴウ</t>
    </rPh>
    <rPh sb="9" eb="11">
      <t>セイスウ</t>
    </rPh>
    <phoneticPr fontId="13"/>
  </si>
  <si>
    <t>符号あり32bit整数</t>
    <rPh sb="0" eb="2">
      <t>フゴウ</t>
    </rPh>
    <rPh sb="9" eb="11">
      <t>セイスウ</t>
    </rPh>
    <phoneticPr fontId="13"/>
  </si>
  <si>
    <t>Code</t>
    <phoneticPr fontId="13"/>
  </si>
  <si>
    <t>Params</t>
    <phoneticPr fontId="13"/>
  </si>
  <si>
    <t>Note</t>
    <phoneticPr fontId="13"/>
  </si>
  <si>
    <t>raw</t>
    <phoneticPr fontId="13"/>
  </si>
  <si>
    <t>生データ, 可変長パラメータ</t>
    <rPh sb="0" eb="1">
      <t>ナマ</t>
    </rPh>
    <rPh sb="6" eb="9">
      <t>カヘンチョウ</t>
    </rPh>
    <phoneticPr fontId="13"/>
  </si>
  <si>
    <t>PROP</t>
    <phoneticPr fontId="13"/>
  </si>
  <si>
    <t>Danger Flag</t>
    <phoneticPr fontId="13"/>
  </si>
  <si>
    <t>ShortName</t>
    <phoneticPr fontId="13"/>
  </si>
  <si>
    <t>BCID</t>
    <phoneticPr fontId="13"/>
  </si>
  <si>
    <t>エイリアス</t>
    <phoneticPr fontId="13"/>
  </si>
  <si>
    <t>Deploy</t>
    <phoneticPr fontId="13"/>
  </si>
  <si>
    <t>SetBlockPosition</t>
    <phoneticPr fontId="13"/>
  </si>
  <si>
    <t>Clear</t>
    <phoneticPr fontId="13"/>
  </si>
  <si>
    <t>Activate</t>
    <phoneticPr fontId="13"/>
  </si>
  <si>
    <t>Inactivate</t>
    <phoneticPr fontId="13"/>
  </si>
  <si>
    <t/>
  </si>
  <si>
    <t>Param3</t>
    <phoneticPr fontId="13"/>
  </si>
  <si>
    <t>Param4</t>
    <phoneticPr fontId="13"/>
  </si>
  <si>
    <t>Param5</t>
    <phoneticPr fontId="13"/>
  </si>
  <si>
    <t>Param6</t>
    <phoneticPr fontId="13"/>
  </si>
  <si>
    <t>No</t>
    <phoneticPr fontId="13"/>
  </si>
  <si>
    <t>保存可能</t>
    <rPh sb="0" eb="4">
      <t>ホゾンカノウ</t>
    </rPh>
    <phoneticPr fontId="13"/>
  </si>
  <si>
    <t>Target</t>
    <phoneticPr fontId="13"/>
  </si>
  <si>
    <t>TargetNameCode</t>
    <phoneticPr fontId="14"/>
  </si>
  <si>
    <t>PCU</t>
    <phoneticPr fontId="13"/>
  </si>
  <si>
    <t>XTx</t>
    <phoneticPr fontId="13"/>
  </si>
  <si>
    <t>STx</t>
    <phoneticPr fontId="13"/>
  </si>
  <si>
    <t>SRx</t>
    <phoneticPr fontId="13"/>
  </si>
  <si>
    <t>AOBC</t>
    <phoneticPr fontId="13"/>
  </si>
  <si>
    <t>TOBC</t>
    <phoneticPr fontId="13"/>
  </si>
  <si>
    <t>MissionIF</t>
    <phoneticPr fontId="13"/>
  </si>
  <si>
    <t>Others</t>
    <phoneticPr fontId="13"/>
  </si>
  <si>
    <t>分類</t>
    <rPh sb="0" eb="2">
      <t>ブンルイ</t>
    </rPh>
    <phoneticPr fontId="26"/>
  </si>
  <si>
    <t>名称</t>
    <rPh sb="0" eb="2">
      <t>メイショウ</t>
    </rPh>
    <phoneticPr fontId="26"/>
  </si>
  <si>
    <t>型</t>
    <rPh sb="0" eb="1">
      <t>カタ</t>
    </rPh>
    <phoneticPr fontId="26"/>
  </si>
  <si>
    <t>バイト数</t>
    <rPh sb="3" eb="4">
      <t>スウ</t>
    </rPh>
    <phoneticPr fontId="26"/>
  </si>
  <si>
    <t>内容</t>
    <rPh sb="0" eb="2">
      <t>ナイヨウ</t>
    </rPh>
    <phoneticPr fontId="26"/>
  </si>
  <si>
    <t>備考</t>
    <rPh sb="0" eb="2">
      <t>ビコウ</t>
    </rPh>
    <phoneticPr fontId="26"/>
  </si>
  <si>
    <t>STX</t>
  </si>
  <si>
    <t>uint16_t</t>
    <phoneticPr fontId="28"/>
  </si>
  <si>
    <t>0xEB90</t>
    <phoneticPr fontId="26"/>
  </si>
  <si>
    <t>LENGTH</t>
    <phoneticPr fontId="26"/>
  </si>
  <si>
    <t>uint16_t</t>
    <phoneticPr fontId="26"/>
  </si>
  <si>
    <t>VERSION_ID</t>
    <phoneticPr fontId="26"/>
  </si>
  <si>
    <t>uint8_t</t>
    <phoneticPr fontId="26"/>
  </si>
  <si>
    <t>0x01</t>
    <phoneticPr fontId="26"/>
  </si>
  <si>
    <t>CMD_COUNT</t>
    <phoneticPr fontId="26"/>
  </si>
  <si>
    <t>0からコマンド送信毎にインクリメント</t>
    <rPh sb="7" eb="9">
      <t>ソウシン</t>
    </rPh>
    <phoneticPr fontId="26"/>
  </si>
  <si>
    <t>CMD_ID</t>
    <phoneticPr fontId="26"/>
  </si>
  <si>
    <t>USER_DATA</t>
    <phoneticPr fontId="26"/>
  </si>
  <si>
    <t>CRC</t>
    <phoneticPr fontId="26"/>
  </si>
  <si>
    <t>-</t>
    <phoneticPr fontId="26"/>
  </si>
  <si>
    <t>ETX</t>
  </si>
  <si>
    <t>0xC579</t>
    <phoneticPr fontId="26"/>
  </si>
  <si>
    <t>COMMON_HEADER</t>
    <phoneticPr fontId="26"/>
  </si>
  <si>
    <t>COMMON_FOOTER</t>
    <phoneticPr fontId="26"/>
  </si>
  <si>
    <t>CMD_HEADERとUSER_DATAのバイト数の和</t>
    <rPh sb="24" eb="25">
      <t>スウ</t>
    </rPh>
    <rPh sb="26" eb="27">
      <t>ワ</t>
    </rPh>
    <phoneticPr fontId="26"/>
  </si>
  <si>
    <t>CMD_HEADER
（C2A系列では別途Headerを用いる）</t>
    <rPh sb="15" eb="17">
      <t>ケイレツ</t>
    </rPh>
    <rPh sb="19" eb="21">
      <t>ベット</t>
    </rPh>
    <rPh sb="28" eb="29">
      <t>モチ</t>
    </rPh>
    <phoneticPr fontId="13"/>
  </si>
  <si>
    <t>TargetName</t>
    <phoneticPr fontId="13"/>
  </si>
  <si>
    <t>CMD_HEADER + USER_DATA部分のCRC</t>
    <rPh sb="22" eb="24">
      <t>ブブン</t>
    </rPh>
    <phoneticPr fontId="13"/>
  </si>
  <si>
    <t>割り当てテーブル</t>
    <phoneticPr fontId="13"/>
  </si>
  <si>
    <t>系</t>
    <phoneticPr fontId="13"/>
  </si>
  <si>
    <t>個数</t>
    <phoneticPr fontId="13"/>
  </si>
  <si>
    <t>開始ID</t>
    <phoneticPr fontId="13"/>
  </si>
  <si>
    <t>終了ID</t>
    <phoneticPr fontId="13"/>
  </si>
  <si>
    <t>Total</t>
    <phoneticPr fontId="13"/>
  </si>
  <si>
    <t>Num Params</t>
    <phoneticPr fontId="13"/>
  </si>
  <si>
    <t>MOBC</t>
    <phoneticPr fontId="13"/>
  </si>
  <si>
    <t>Component</t>
    <phoneticPr fontId="13"/>
  </si>
  <si>
    <t>Is Restricted</t>
    <phoneticPr fontId="13"/>
  </si>
  <si>
    <t>Margin</t>
    <phoneticPr fontId="13"/>
  </si>
  <si>
    <t>C2A_CORE</t>
    <phoneticPr fontId="13"/>
  </si>
  <si>
    <t>CDH</t>
    <phoneticPr fontId="13"/>
  </si>
  <si>
    <t>POWER</t>
    <phoneticPr fontId="13"/>
  </si>
  <si>
    <t>COM</t>
    <phoneticPr fontId="13"/>
  </si>
  <si>
    <t>MISSION</t>
    <phoneticPr fontId="13"/>
  </si>
  <si>
    <t>AOCS</t>
    <phoneticPr fontId="13"/>
  </si>
  <si>
    <t>Thermal</t>
    <phoneticPr fontId="13"/>
  </si>
  <si>
    <t>Trajectory</t>
    <phoneticPr fontId="13"/>
  </si>
  <si>
    <t>HILS</t>
    <phoneticPr fontId="13"/>
  </si>
  <si>
    <t>RESERVE2</t>
    <phoneticPr fontId="13"/>
  </si>
  <si>
    <t>RESERVE3</t>
    <phoneticPr fontId="13"/>
  </si>
  <si>
    <t>RESERVE4</t>
    <phoneticPr fontId="13"/>
  </si>
  <si>
    <t>RESERVE5</t>
    <phoneticPr fontId="13"/>
  </si>
  <si>
    <t>RESERVE6</t>
    <phoneticPr fontId="13"/>
  </si>
  <si>
    <t>RESERVE7</t>
    <phoneticPr fontId="13"/>
  </si>
  <si>
    <t>RESERVE8</t>
    <phoneticPr fontId="13"/>
  </si>
  <si>
    <t>RESERVE9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</si>
</sst>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DejaVu LGC Sans"/>
      <family val="3"/>
    </font>
    <font>
      <sz val="10"/>
      <color indexed="8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indexed="13"/>
      <name val="ＭＳ ゴシック"/>
      <family val="3"/>
      <charset val="128"/>
    </font>
    <font>
      <sz val="11"/>
      <color indexed="13"/>
      <name val="DejaVu LGC Sans"/>
      <family val="3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indexed="20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43"/>
        <bgColor indexed="26"/>
      </patternFill>
    </fill>
    <fill>
      <patternFill patternType="solid">
        <fgColor theme="9" tint="0.79998168889431442"/>
        <b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34"/>
      </patternFill>
    </fill>
    <fill>
      <patternFill patternType="solid">
        <fgColor indexed="52"/>
        <bgColor indexed="26"/>
      </patternFill>
    </fill>
    <fill>
      <patternFill patternType="solid">
        <fgColor indexed="51"/>
        <bgColor indexed="34"/>
      </patternFill>
    </fill>
    <fill>
      <patternFill patternType="solid">
        <fgColor rgb="FFFF9900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052">
    <xf numFmtId="0" fontId="0" fillId="0" borderId="0"/>
    <xf numFmtId="49" fontId="9" fillId="0" borderId="0">
      <alignment horizontal="left" vertical="center" wrapText="1"/>
    </xf>
    <xf numFmtId="0" fontId="1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1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23">
    <xf numFmtId="0" fontId="8" fillId="0" borderId="0" xfId="0" applyFont="1"/>
    <xf numFmtId="49" fontId="8" fillId="2" borderId="1" xfId="1" applyFont="1" applyFill="1" applyBorder="1" applyAlignment="1">
      <alignment horizontal="center" vertical="center" wrapText="1"/>
    </xf>
    <xf numFmtId="49" fontId="8" fillId="2" borderId="2" xfId="1" applyFont="1" applyFill="1" applyBorder="1" applyAlignment="1">
      <alignment horizontal="center" vertical="center" wrapText="1"/>
    </xf>
    <xf numFmtId="49" fontId="10" fillId="2" borderId="5" xfId="1" applyFont="1" applyFill="1" applyBorder="1" applyAlignment="1">
      <alignment horizontal="center" vertical="center" wrapText="1"/>
    </xf>
    <xf numFmtId="49" fontId="11" fillId="2" borderId="5" xfId="1" applyFont="1" applyFill="1" applyBorder="1" applyAlignment="1">
      <alignment horizontal="center" vertical="center" wrapText="1"/>
    </xf>
    <xf numFmtId="49" fontId="8" fillId="2" borderId="3" xfId="1" applyFont="1" applyFill="1" applyBorder="1" applyAlignment="1">
      <alignment horizontal="center" vertical="center" wrapText="1"/>
    </xf>
    <xf numFmtId="49" fontId="12" fillId="2" borderId="4" xfId="1" applyFont="1" applyFill="1" applyBorder="1" applyAlignment="1">
      <alignment horizontal="center" vertical="center" wrapText="1"/>
    </xf>
    <xf numFmtId="49" fontId="10" fillId="2" borderId="1" xfId="1" applyFont="1" applyFill="1" applyBorder="1" applyAlignment="1">
      <alignment horizontal="center" vertical="center" wrapText="1"/>
    </xf>
    <xf numFmtId="49" fontId="8" fillId="2" borderId="7" xfId="1" applyFont="1" applyFill="1" applyBorder="1" applyAlignment="1">
      <alignment horizontal="center" vertical="center" wrapText="1"/>
    </xf>
    <xf numFmtId="49" fontId="8" fillId="2" borderId="8" xfId="1" applyFont="1" applyFill="1" applyBorder="1" applyAlignment="1">
      <alignment horizontal="center" vertical="center" wrapText="1"/>
    </xf>
    <xf numFmtId="49" fontId="10" fillId="3" borderId="2" xfId="1" applyFont="1" applyFill="1" applyBorder="1" applyAlignment="1">
      <alignment horizontal="center" vertical="center" wrapText="1"/>
    </xf>
    <xf numFmtId="49" fontId="10" fillId="3" borderId="1" xfId="1" applyFont="1" applyFill="1" applyBorder="1" applyAlignment="1">
      <alignment horizontal="center" vertical="center" wrapText="1"/>
    </xf>
    <xf numFmtId="49" fontId="10" fillId="3" borderId="7" xfId="1" applyFont="1" applyFill="1" applyBorder="1" applyAlignment="1">
      <alignment horizontal="center" vertical="center" wrapText="1"/>
    </xf>
    <xf numFmtId="49" fontId="10" fillId="3" borderId="9" xfId="1" applyFont="1" applyFill="1" applyBorder="1" applyAlignment="1">
      <alignment horizontal="center" vertical="center" wrapText="1"/>
    </xf>
    <xf numFmtId="49" fontId="8" fillId="3" borderId="9" xfId="1" applyFont="1" applyFill="1" applyBorder="1" applyAlignment="1">
      <alignment horizontal="center" vertical="center" wrapText="1"/>
    </xf>
    <xf numFmtId="49" fontId="8" fillId="2" borderId="9" xfId="1" applyFont="1" applyFill="1" applyBorder="1" applyAlignment="1">
      <alignment horizontal="center" vertical="center" wrapText="1"/>
    </xf>
    <xf numFmtId="49" fontId="8" fillId="3" borderId="7" xfId="1" applyFont="1" applyFill="1" applyBorder="1" applyAlignment="1">
      <alignment horizontal="center" vertical="center" wrapText="1"/>
    </xf>
    <xf numFmtId="49" fontId="8" fillId="0" borderId="0" xfId="0" applyNumberFormat="1" applyFont="1"/>
    <xf numFmtId="49" fontId="12" fillId="2" borderId="6" xfId="1" applyFont="1" applyFill="1" applyBorder="1" applyAlignment="1">
      <alignment horizontal="center" vertical="center" wrapText="1"/>
    </xf>
    <xf numFmtId="49" fontId="12" fillId="2" borderId="5" xfId="1" applyFont="1" applyFill="1" applyBorder="1" applyAlignment="1">
      <alignment horizontal="center" vertical="center" wrapText="1"/>
    </xf>
    <xf numFmtId="49" fontId="8" fillId="2" borderId="5" xfId="1" applyFont="1" applyFill="1" applyBorder="1" applyAlignment="1">
      <alignment horizontal="center" vertical="center" wrapText="1"/>
    </xf>
    <xf numFmtId="49" fontId="10" fillId="2" borderId="3" xfId="1" applyFont="1" applyFill="1" applyBorder="1" applyAlignment="1">
      <alignment horizontal="center" vertical="center" wrapText="1"/>
    </xf>
    <xf numFmtId="49" fontId="8" fillId="2" borderId="6" xfId="1" applyFont="1" applyFill="1" applyBorder="1" applyAlignment="1">
      <alignment horizontal="center" vertical="center" wrapText="1"/>
    </xf>
    <xf numFmtId="49" fontId="10" fillId="2" borderId="10" xfId="2" applyNumberFormat="1" applyFill="1" applyBorder="1" applyAlignment="1">
      <alignment horizontal="center" vertical="center" wrapText="1"/>
    </xf>
    <xf numFmtId="49" fontId="8" fillId="3" borderId="8" xfId="1" applyFont="1" applyFill="1" applyBorder="1" applyAlignment="1">
      <alignment horizontal="center" vertical="center" wrapText="1"/>
    </xf>
    <xf numFmtId="49" fontId="8" fillId="2" borderId="7" xfId="2" applyNumberFormat="1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top"/>
    </xf>
    <xf numFmtId="0" fontId="15" fillId="5" borderId="11" xfId="0" applyFont="1" applyFill="1" applyBorder="1" applyAlignment="1">
      <alignment horizontal="center" vertical="top"/>
    </xf>
    <xf numFmtId="0" fontId="15" fillId="6" borderId="13" xfId="0" applyFont="1" applyFill="1" applyBorder="1" applyAlignment="1">
      <alignment horizontal="center" vertical="top"/>
    </xf>
    <xf numFmtId="0" fontId="15" fillId="5" borderId="17" xfId="0" applyFont="1" applyFill="1" applyBorder="1" applyAlignment="1">
      <alignment horizontal="center" vertical="top"/>
    </xf>
    <xf numFmtId="0" fontId="15" fillId="0" borderId="17" xfId="0" applyFont="1" applyBorder="1" applyAlignment="1">
      <alignment horizontal="right" vertical="top"/>
    </xf>
    <xf numFmtId="0" fontId="15" fillId="6" borderId="17" xfId="0" applyFont="1" applyFill="1" applyBorder="1" applyAlignment="1">
      <alignment horizontal="center" vertical="top"/>
    </xf>
    <xf numFmtId="0" fontId="15" fillId="0" borderId="17" xfId="0" applyFont="1" applyBorder="1" applyAlignment="1">
      <alignment vertical="top"/>
    </xf>
    <xf numFmtId="0" fontId="15" fillId="8" borderId="11" xfId="0" applyFont="1" applyFill="1" applyBorder="1" applyAlignment="1">
      <alignment horizontal="center"/>
    </xf>
    <xf numFmtId="0" fontId="15" fillId="0" borderId="17" xfId="0" applyFont="1" applyBorder="1"/>
    <xf numFmtId="0" fontId="20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49" fontId="15" fillId="5" borderId="11" xfId="1" applyFont="1" applyFill="1" applyBorder="1" applyAlignment="1">
      <alignment horizontal="center" vertical="top" wrapText="1"/>
    </xf>
    <xf numFmtId="49" fontId="15" fillId="6" borderId="11" xfId="1" applyFont="1" applyFill="1" applyBorder="1" applyAlignment="1">
      <alignment horizontal="center" vertical="top" wrapText="1"/>
    </xf>
    <xf numFmtId="0" fontId="15" fillId="0" borderId="11" xfId="0" applyFont="1" applyBorder="1" applyAlignment="1">
      <alignment horizontal="right"/>
    </xf>
    <xf numFmtId="0" fontId="15" fillId="0" borderId="11" xfId="0" applyFont="1" applyBorder="1" applyAlignment="1">
      <alignment horizontal="left"/>
    </xf>
    <xf numFmtId="0" fontId="15" fillId="0" borderId="11" xfId="0" applyFont="1" applyBorder="1"/>
    <xf numFmtId="0" fontId="15" fillId="0" borderId="0" xfId="0" quotePrefix="1" applyFont="1"/>
    <xf numFmtId="0" fontId="15" fillId="8" borderId="17" xfId="0" applyFont="1" applyFill="1" applyBorder="1" applyAlignment="1">
      <alignment horizontal="center"/>
    </xf>
    <xf numFmtId="0" fontId="15" fillId="0" borderId="17" xfId="0" applyFont="1" applyBorder="1" applyAlignment="1">
      <alignment horizontal="left"/>
    </xf>
    <xf numFmtId="0" fontId="15" fillId="0" borderId="18" xfId="0" applyFont="1" applyBorder="1"/>
    <xf numFmtId="49" fontId="22" fillId="0" borderId="0" xfId="0" applyNumberFormat="1" applyFont="1"/>
    <xf numFmtId="49" fontId="22" fillId="0" borderId="0" xfId="0" applyNumberFormat="1" applyFont="1" applyAlignment="1">
      <alignment horizontal="center"/>
    </xf>
    <xf numFmtId="0" fontId="8" fillId="0" borderId="2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23" xfId="0" applyFont="1" applyBorder="1" applyAlignment="1">
      <alignment horizontal="right"/>
    </xf>
    <xf numFmtId="0" fontId="8" fillId="0" borderId="24" xfId="0" applyFont="1" applyBorder="1" applyAlignment="1">
      <alignment horizontal="right"/>
    </xf>
    <xf numFmtId="0" fontId="8" fillId="0" borderId="25" xfId="0" applyFont="1" applyBorder="1" applyAlignment="1">
      <alignment horizontal="right"/>
    </xf>
    <xf numFmtId="0" fontId="8" fillId="0" borderId="26" xfId="0" applyFont="1" applyBorder="1" applyAlignment="1">
      <alignment horizontal="right"/>
    </xf>
    <xf numFmtId="0" fontId="8" fillId="0" borderId="27" xfId="0" applyFont="1" applyBorder="1"/>
    <xf numFmtId="0" fontId="8" fillId="0" borderId="28" xfId="0" applyFont="1" applyBorder="1"/>
    <xf numFmtId="0" fontId="8" fillId="0" borderId="29" xfId="0" applyFont="1" applyBorder="1"/>
    <xf numFmtId="0" fontId="8" fillId="0" borderId="30" xfId="0" applyFont="1" applyBorder="1"/>
    <xf numFmtId="0" fontId="8" fillId="0" borderId="31" xfId="0" applyFont="1" applyBorder="1"/>
    <xf numFmtId="0" fontId="8" fillId="0" borderId="32" xfId="0" applyFont="1" applyBorder="1" applyAlignment="1">
      <alignment horizontal="right"/>
    </xf>
    <xf numFmtId="0" fontId="8" fillId="0" borderId="33" xfId="0" applyFont="1" applyBorder="1" applyAlignment="1">
      <alignment horizontal="right"/>
    </xf>
    <xf numFmtId="49" fontId="22" fillId="0" borderId="0" xfId="0" applyNumberFormat="1" applyFont="1" applyAlignment="1">
      <alignment vertical="center"/>
    </xf>
    <xf numFmtId="49" fontId="22" fillId="7" borderId="21" xfId="0" applyNumberFormat="1" applyFont="1" applyFill="1" applyBorder="1"/>
    <xf numFmtId="49" fontId="22" fillId="7" borderId="0" xfId="0" applyNumberFormat="1" applyFont="1" applyFill="1"/>
    <xf numFmtId="49" fontId="8" fillId="0" borderId="0" xfId="0" applyNumberFormat="1" applyFont="1" applyFill="1"/>
    <xf numFmtId="49" fontId="22" fillId="0" borderId="0" xfId="0" applyNumberFormat="1" applyFont="1" applyFill="1"/>
    <xf numFmtId="0" fontId="0" fillId="0" borderId="0" xfId="0" applyFont="1"/>
    <xf numFmtId="0" fontId="0" fillId="0" borderId="35" xfId="0" applyFont="1" applyBorder="1"/>
    <xf numFmtId="0" fontId="8" fillId="14" borderId="16" xfId="0" applyFont="1" applyFill="1" applyBorder="1"/>
    <xf numFmtId="49" fontId="22" fillId="0" borderId="12" xfId="0" applyNumberFormat="1" applyFont="1" applyBorder="1"/>
    <xf numFmtId="49" fontId="22" fillId="0" borderId="0" xfId="0" applyNumberFormat="1" applyFont="1" applyBorder="1"/>
    <xf numFmtId="49" fontId="22" fillId="0" borderId="0" xfId="0" applyNumberFormat="1" applyFont="1" applyBorder="1" applyAlignment="1">
      <alignment vertical="center"/>
    </xf>
    <xf numFmtId="49" fontId="22" fillId="0" borderId="0" xfId="0" applyNumberFormat="1" applyFont="1" applyFill="1" applyBorder="1"/>
    <xf numFmtId="49" fontId="22" fillId="4" borderId="36" xfId="1" applyNumberFormat="1" applyFont="1" applyFill="1" applyBorder="1" applyAlignment="1">
      <alignment horizontal="center" vertical="center" wrapText="1"/>
    </xf>
    <xf numFmtId="49" fontId="22" fillId="0" borderId="36" xfId="0" applyNumberFormat="1" applyFont="1" applyBorder="1" applyAlignment="1">
      <alignment horizontal="center"/>
    </xf>
    <xf numFmtId="49" fontId="22" fillId="0" borderId="36" xfId="0" applyNumberFormat="1" applyFont="1" applyBorder="1"/>
    <xf numFmtId="49" fontId="22" fillId="13" borderId="36" xfId="1" applyNumberFormat="1" applyFont="1" applyFill="1" applyBorder="1" applyAlignment="1">
      <alignment horizontal="center" vertical="center" wrapText="1"/>
    </xf>
    <xf numFmtId="49" fontId="22" fillId="7" borderId="36" xfId="0" applyNumberFormat="1" applyFont="1" applyFill="1" applyBorder="1"/>
    <xf numFmtId="49" fontId="22" fillId="0" borderId="36" xfId="0" applyNumberFormat="1" applyFont="1" applyBorder="1" applyAlignment="1">
      <alignment horizontal="left"/>
    </xf>
    <xf numFmtId="49" fontId="22" fillId="0" borderId="37" xfId="0" applyNumberFormat="1" applyFont="1" applyBorder="1" applyAlignment="1">
      <alignment horizontal="center"/>
    </xf>
    <xf numFmtId="0" fontId="25" fillId="6" borderId="37" xfId="0" applyFont="1" applyFill="1" applyBorder="1" applyAlignment="1">
      <alignment horizontal="left" vertical="center" wrapText="1"/>
    </xf>
    <xf numFmtId="0" fontId="25" fillId="6" borderId="14" xfId="0" applyFont="1" applyFill="1" applyBorder="1" applyAlignment="1">
      <alignment horizontal="left" vertical="center" wrapText="1"/>
    </xf>
    <xf numFmtId="0" fontId="27" fillId="6" borderId="37" xfId="0" applyFont="1" applyFill="1" applyBorder="1" applyAlignment="1">
      <alignment horizontal="left" vertical="center" wrapText="1"/>
    </xf>
    <xf numFmtId="0" fontId="0" fillId="0" borderId="0" xfId="0"/>
    <xf numFmtId="0" fontId="25" fillId="0" borderId="37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7" fillId="0" borderId="37" xfId="0" applyFont="1" applyBorder="1" applyAlignment="1">
      <alignment horizontal="left" vertical="center" wrapText="1"/>
    </xf>
    <xf numFmtId="0" fontId="25" fillId="15" borderId="14" xfId="0" applyFont="1" applyFill="1" applyBorder="1" applyAlignment="1">
      <alignment horizontal="center" vertical="center" wrapText="1"/>
    </xf>
    <xf numFmtId="0" fontId="25" fillId="15" borderId="14" xfId="0" applyFont="1" applyFill="1" applyBorder="1" applyAlignment="1">
      <alignment horizontal="left" vertical="center" wrapText="1"/>
    </xf>
    <xf numFmtId="0" fontId="25" fillId="15" borderId="14" xfId="0" applyFont="1" applyFill="1" applyBorder="1" applyAlignment="1">
      <alignment horizontal="left" vertical="center"/>
    </xf>
    <xf numFmtId="0" fontId="27" fillId="15" borderId="37" xfId="0" quotePrefix="1" applyFont="1" applyFill="1" applyBorder="1" applyAlignment="1">
      <alignment horizontal="left" vertical="center" wrapText="1"/>
    </xf>
    <xf numFmtId="0" fontId="27" fillId="15" borderId="14" xfId="0" applyFont="1" applyFill="1" applyBorder="1" applyAlignment="1">
      <alignment horizontal="center" vertical="center" wrapText="1"/>
    </xf>
    <xf numFmtId="0" fontId="25" fillId="0" borderId="37" xfId="0" applyFont="1" applyBorder="1" applyAlignment="1">
      <alignment horizontal="left" vertical="center"/>
    </xf>
    <xf numFmtId="0" fontId="27" fillId="0" borderId="14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3" fillId="0" borderId="36" xfId="0" applyNumberFormat="1" applyFont="1" applyBorder="1" applyAlignment="1">
      <alignment horizontal="left" vertical="center"/>
    </xf>
    <xf numFmtId="49" fontId="22" fillId="0" borderId="36" xfId="0" applyNumberFormat="1" applyFont="1" applyBorder="1" applyAlignment="1"/>
    <xf numFmtId="49" fontId="22" fillId="0" borderId="0" xfId="0" applyNumberFormat="1" applyFont="1" applyAlignment="1"/>
    <xf numFmtId="0" fontId="8" fillId="0" borderId="0" xfId="0" applyFont="1" applyBorder="1" applyAlignment="1">
      <alignment horizontal="right"/>
    </xf>
    <xf numFmtId="0" fontId="8" fillId="0" borderId="0" xfId="0" applyFont="1" applyBorder="1"/>
    <xf numFmtId="0" fontId="8" fillId="0" borderId="39" xfId="0" applyFont="1" applyBorder="1"/>
    <xf numFmtId="0" fontId="8" fillId="0" borderId="40" xfId="0" applyFont="1" applyBorder="1"/>
    <xf numFmtId="0" fontId="8" fillId="0" borderId="33" xfId="0" applyFont="1" applyBorder="1"/>
    <xf numFmtId="0" fontId="8" fillId="0" borderId="34" xfId="0" applyFont="1" applyBorder="1"/>
    <xf numFmtId="0" fontId="8" fillId="0" borderId="41" xfId="0" applyFont="1" applyBorder="1"/>
    <xf numFmtId="49" fontId="22" fillId="10" borderId="37" xfId="1" applyNumberFormat="1" applyFont="1" applyFill="1" applyBorder="1" applyAlignment="1">
      <alignment horizontal="center" vertical="center" wrapText="1"/>
    </xf>
    <xf numFmtId="49" fontId="22" fillId="7" borderId="37" xfId="0" applyNumberFormat="1" applyFont="1" applyFill="1" applyBorder="1" applyAlignment="1">
      <alignment horizontal="center" vertical="center"/>
    </xf>
    <xf numFmtId="49" fontId="22" fillId="10" borderId="36" xfId="1" applyNumberFormat="1" applyFont="1" applyFill="1" applyBorder="1" applyAlignment="1">
      <alignment horizontal="center" vertical="center"/>
    </xf>
    <xf numFmtId="49" fontId="22" fillId="9" borderId="36" xfId="1" applyNumberFormat="1" applyFont="1" applyFill="1" applyBorder="1" applyAlignment="1">
      <alignment horizontal="center" vertical="center" wrapText="1"/>
    </xf>
    <xf numFmtId="49" fontId="22" fillId="12" borderId="36" xfId="1" applyNumberFormat="1" applyFont="1" applyFill="1" applyBorder="1" applyAlignment="1">
      <alignment horizontal="center" vertical="center" wrapText="1"/>
    </xf>
    <xf numFmtId="49" fontId="22" fillId="10" borderId="36" xfId="1" applyNumberFormat="1" applyFont="1" applyFill="1" applyBorder="1" applyAlignment="1">
      <alignment horizontal="center" vertical="center" wrapText="1"/>
    </xf>
    <xf numFmtId="49" fontId="22" fillId="10" borderId="19" xfId="1" applyNumberFormat="1" applyFont="1" applyFill="1" applyBorder="1" applyAlignment="1">
      <alignment horizontal="center" vertical="center" wrapText="1"/>
    </xf>
    <xf numFmtId="49" fontId="22" fillId="10" borderId="0" xfId="1" applyNumberFormat="1" applyFont="1" applyFill="1" applyBorder="1" applyAlignment="1">
      <alignment horizontal="center" vertical="center" wrapText="1"/>
    </xf>
    <xf numFmtId="49" fontId="22" fillId="10" borderId="20" xfId="1" applyNumberFormat="1" applyFont="1" applyFill="1" applyBorder="1" applyAlignment="1">
      <alignment horizontal="center" vertical="center" wrapText="1"/>
    </xf>
    <xf numFmtId="49" fontId="22" fillId="11" borderId="36" xfId="1" applyNumberFormat="1" applyFont="1" applyFill="1" applyBorder="1" applyAlignment="1">
      <alignment horizontal="center" vertical="center" wrapText="1"/>
    </xf>
    <xf numFmtId="49" fontId="22" fillId="10" borderId="36" xfId="1" applyNumberFormat="1" applyFont="1" applyFill="1" applyBorder="1">
      <alignment horizontal="left" vertical="center" wrapText="1"/>
    </xf>
    <xf numFmtId="49" fontId="22" fillId="7" borderId="36" xfId="1" applyNumberFormat="1" applyFont="1" applyFill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38" xfId="0" applyFont="1" applyBorder="1" applyAlignment="1">
      <alignment horizontal="center" vertical="center" wrapText="1"/>
    </xf>
    <xf numFmtId="49" fontId="23" fillId="0" borderId="37" xfId="0" applyNumberFormat="1" applyFont="1" applyBorder="1" applyAlignment="1">
      <alignment horizontal="left" vertical="center"/>
    </xf>
    <xf numFmtId="49" fontId="22" fillId="0" borderId="37" xfId="0" applyNumberFormat="1" applyFont="1" applyBorder="1" applyAlignment="1"/>
  </cellXfs>
  <cellStyles count="1052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7" builtinId="8" hidden="1"/>
    <cellStyle name="ハイパーリンク" xfId="759" builtinId="8" hidden="1"/>
    <cellStyle name="成果報告書要テレコマリスト20050317kondoh" xfId="1" xr:uid="{00000000-0005-0000-0000-00007A010000}"/>
    <cellStyle name="標準" xfId="0" builtinId="0"/>
    <cellStyle name="標準 2" xfId="377" xr:uid="{00000000-0005-0000-0000-00007C010000}"/>
    <cellStyle name="標準 2 10" xfId="797" xr:uid="{00000000-0005-0000-0000-00007D010000}"/>
    <cellStyle name="標準 2 10 2" xfId="870" xr:uid="{00000000-0005-0000-0000-00007E010000}"/>
    <cellStyle name="標準 2 10 2 2" xfId="1016" xr:uid="{00000000-0005-0000-0000-00007F010000}"/>
    <cellStyle name="標準 2 10 3" xfId="943" xr:uid="{00000000-0005-0000-0000-000080010000}"/>
    <cellStyle name="標準 2 11" xfId="833" xr:uid="{00000000-0005-0000-0000-000081010000}"/>
    <cellStyle name="標準 2 11 2" xfId="979" xr:uid="{00000000-0005-0000-0000-000082010000}"/>
    <cellStyle name="標準 2 12" xfId="906" xr:uid="{00000000-0005-0000-0000-000083010000}"/>
    <cellStyle name="標準 2 2" xfId="756" xr:uid="{00000000-0005-0000-0000-000084010000}"/>
    <cellStyle name="標準 2 2 10" xfId="907" xr:uid="{00000000-0005-0000-0000-000085010000}"/>
    <cellStyle name="標準 2 2 2" xfId="762" xr:uid="{00000000-0005-0000-0000-000086010000}"/>
    <cellStyle name="標準 2 2 2 2" xfId="772" xr:uid="{00000000-0005-0000-0000-000087010000}"/>
    <cellStyle name="標準 2 2 2 2 2" xfId="788" xr:uid="{00000000-0005-0000-0000-000088010000}"/>
    <cellStyle name="標準 2 2 2 2 2 2" xfId="826" xr:uid="{00000000-0005-0000-0000-000089010000}"/>
    <cellStyle name="標準 2 2 2 2 2 2 2" xfId="899" xr:uid="{00000000-0005-0000-0000-00008A010000}"/>
    <cellStyle name="標準 2 2 2 2 2 2 2 2" xfId="1045" xr:uid="{00000000-0005-0000-0000-00008B010000}"/>
    <cellStyle name="標準 2 2 2 2 2 2 3" xfId="972" xr:uid="{00000000-0005-0000-0000-00008C010000}"/>
    <cellStyle name="標準 2 2 2 2 2 3" xfId="862" xr:uid="{00000000-0005-0000-0000-00008D010000}"/>
    <cellStyle name="標準 2 2 2 2 2 3 2" xfId="1008" xr:uid="{00000000-0005-0000-0000-00008E010000}"/>
    <cellStyle name="標準 2 2 2 2 2 4" xfId="935" xr:uid="{00000000-0005-0000-0000-00008F010000}"/>
    <cellStyle name="標準 2 2 2 2 3" xfId="810" xr:uid="{00000000-0005-0000-0000-000090010000}"/>
    <cellStyle name="標準 2 2 2 2 3 2" xfId="883" xr:uid="{00000000-0005-0000-0000-000091010000}"/>
    <cellStyle name="標準 2 2 2 2 3 2 2" xfId="1029" xr:uid="{00000000-0005-0000-0000-000092010000}"/>
    <cellStyle name="標準 2 2 2 2 3 3" xfId="956" xr:uid="{00000000-0005-0000-0000-000093010000}"/>
    <cellStyle name="標準 2 2 2 2 4" xfId="846" xr:uid="{00000000-0005-0000-0000-000094010000}"/>
    <cellStyle name="標準 2 2 2 2 4 2" xfId="992" xr:uid="{00000000-0005-0000-0000-000095010000}"/>
    <cellStyle name="標準 2 2 2 2 5" xfId="919" xr:uid="{00000000-0005-0000-0000-000096010000}"/>
    <cellStyle name="標準 2 2 2 3" xfId="782" xr:uid="{00000000-0005-0000-0000-000097010000}"/>
    <cellStyle name="標準 2 2 2 3 2" xfId="820" xr:uid="{00000000-0005-0000-0000-000098010000}"/>
    <cellStyle name="標準 2 2 2 3 2 2" xfId="893" xr:uid="{00000000-0005-0000-0000-000099010000}"/>
    <cellStyle name="標準 2 2 2 3 2 2 2" xfId="1039" xr:uid="{00000000-0005-0000-0000-00009A010000}"/>
    <cellStyle name="標準 2 2 2 3 2 3" xfId="966" xr:uid="{00000000-0005-0000-0000-00009B010000}"/>
    <cellStyle name="標準 2 2 2 3 3" xfId="856" xr:uid="{00000000-0005-0000-0000-00009C010000}"/>
    <cellStyle name="標準 2 2 2 3 3 2" xfId="1002" xr:uid="{00000000-0005-0000-0000-00009D010000}"/>
    <cellStyle name="標準 2 2 2 3 4" xfId="929" xr:uid="{00000000-0005-0000-0000-00009E010000}"/>
    <cellStyle name="標準 2 2 2 4" xfId="766" xr:uid="{00000000-0005-0000-0000-00009F010000}"/>
    <cellStyle name="標準 2 2 2 4 2" xfId="804" xr:uid="{00000000-0005-0000-0000-0000A0010000}"/>
    <cellStyle name="標準 2 2 2 4 2 2" xfId="877" xr:uid="{00000000-0005-0000-0000-0000A1010000}"/>
    <cellStyle name="標準 2 2 2 4 2 2 2" xfId="1023" xr:uid="{00000000-0005-0000-0000-0000A2010000}"/>
    <cellStyle name="標準 2 2 2 4 2 3" xfId="950" xr:uid="{00000000-0005-0000-0000-0000A3010000}"/>
    <cellStyle name="標準 2 2 2 4 3" xfId="840" xr:uid="{00000000-0005-0000-0000-0000A4010000}"/>
    <cellStyle name="標準 2 2 2 4 3 2" xfId="986" xr:uid="{00000000-0005-0000-0000-0000A5010000}"/>
    <cellStyle name="標準 2 2 2 4 4" xfId="913" xr:uid="{00000000-0005-0000-0000-0000A6010000}"/>
    <cellStyle name="標準 2 2 2 5" xfId="800" xr:uid="{00000000-0005-0000-0000-0000A7010000}"/>
    <cellStyle name="標準 2 2 2 5 2" xfId="873" xr:uid="{00000000-0005-0000-0000-0000A8010000}"/>
    <cellStyle name="標準 2 2 2 5 2 2" xfId="1019" xr:uid="{00000000-0005-0000-0000-0000A9010000}"/>
    <cellStyle name="標準 2 2 2 5 3" xfId="946" xr:uid="{00000000-0005-0000-0000-0000AA010000}"/>
    <cellStyle name="標準 2 2 2 6" xfId="836" xr:uid="{00000000-0005-0000-0000-0000AB010000}"/>
    <cellStyle name="標準 2 2 2 6 2" xfId="982" xr:uid="{00000000-0005-0000-0000-0000AC010000}"/>
    <cellStyle name="標準 2 2 2 7" xfId="909" xr:uid="{00000000-0005-0000-0000-0000AD010000}"/>
    <cellStyle name="標準 2 2 3" xfId="770" xr:uid="{00000000-0005-0000-0000-0000AE010000}"/>
    <cellStyle name="標準 2 2 3 2" xfId="786" xr:uid="{00000000-0005-0000-0000-0000AF010000}"/>
    <cellStyle name="標準 2 2 3 2 2" xfId="824" xr:uid="{00000000-0005-0000-0000-0000B0010000}"/>
    <cellStyle name="標準 2 2 3 2 2 2" xfId="897" xr:uid="{00000000-0005-0000-0000-0000B1010000}"/>
    <cellStyle name="標準 2 2 3 2 2 2 2" xfId="1043" xr:uid="{00000000-0005-0000-0000-0000B2010000}"/>
    <cellStyle name="標準 2 2 3 2 2 3" xfId="970" xr:uid="{00000000-0005-0000-0000-0000B3010000}"/>
    <cellStyle name="標準 2 2 3 2 3" xfId="860" xr:uid="{00000000-0005-0000-0000-0000B4010000}"/>
    <cellStyle name="標準 2 2 3 2 3 2" xfId="1006" xr:uid="{00000000-0005-0000-0000-0000B5010000}"/>
    <cellStyle name="標準 2 2 3 2 4" xfId="933" xr:uid="{00000000-0005-0000-0000-0000B6010000}"/>
    <cellStyle name="標準 2 2 3 3" xfId="808" xr:uid="{00000000-0005-0000-0000-0000B7010000}"/>
    <cellStyle name="標準 2 2 3 3 2" xfId="881" xr:uid="{00000000-0005-0000-0000-0000B8010000}"/>
    <cellStyle name="標準 2 2 3 3 2 2" xfId="1027" xr:uid="{00000000-0005-0000-0000-0000B9010000}"/>
    <cellStyle name="標準 2 2 3 3 3" xfId="954" xr:uid="{00000000-0005-0000-0000-0000BA010000}"/>
    <cellStyle name="標準 2 2 3 4" xfId="844" xr:uid="{00000000-0005-0000-0000-0000BB010000}"/>
    <cellStyle name="標準 2 2 3 4 2" xfId="990" xr:uid="{00000000-0005-0000-0000-0000BC010000}"/>
    <cellStyle name="標準 2 2 3 5" xfId="917" xr:uid="{00000000-0005-0000-0000-0000BD010000}"/>
    <cellStyle name="標準 2 2 4" xfId="776" xr:uid="{00000000-0005-0000-0000-0000BE010000}"/>
    <cellStyle name="標準 2 2 4 2" xfId="792" xr:uid="{00000000-0005-0000-0000-0000BF010000}"/>
    <cellStyle name="標準 2 2 4 2 2" xfId="830" xr:uid="{00000000-0005-0000-0000-0000C0010000}"/>
    <cellStyle name="標準 2 2 4 2 2 2" xfId="903" xr:uid="{00000000-0005-0000-0000-0000C1010000}"/>
    <cellStyle name="標準 2 2 4 2 2 2 2" xfId="1049" xr:uid="{00000000-0005-0000-0000-0000C2010000}"/>
    <cellStyle name="標準 2 2 4 2 2 3" xfId="976" xr:uid="{00000000-0005-0000-0000-0000C3010000}"/>
    <cellStyle name="標準 2 2 4 2 3" xfId="866" xr:uid="{00000000-0005-0000-0000-0000C4010000}"/>
    <cellStyle name="標準 2 2 4 2 3 2" xfId="1012" xr:uid="{00000000-0005-0000-0000-0000C5010000}"/>
    <cellStyle name="標準 2 2 4 2 4" xfId="939" xr:uid="{00000000-0005-0000-0000-0000C6010000}"/>
    <cellStyle name="標準 2 2 4 3" xfId="814" xr:uid="{00000000-0005-0000-0000-0000C7010000}"/>
    <cellStyle name="標準 2 2 4 3 2" xfId="887" xr:uid="{00000000-0005-0000-0000-0000C8010000}"/>
    <cellStyle name="標準 2 2 4 3 2 2" xfId="1033" xr:uid="{00000000-0005-0000-0000-0000C9010000}"/>
    <cellStyle name="標準 2 2 4 3 3" xfId="960" xr:uid="{00000000-0005-0000-0000-0000CA010000}"/>
    <cellStyle name="標準 2 2 4 4" xfId="850" xr:uid="{00000000-0005-0000-0000-0000CB010000}"/>
    <cellStyle name="標準 2 2 4 4 2" xfId="996" xr:uid="{00000000-0005-0000-0000-0000CC010000}"/>
    <cellStyle name="標準 2 2 4 5" xfId="923" xr:uid="{00000000-0005-0000-0000-0000CD010000}"/>
    <cellStyle name="標準 2 2 5" xfId="778" xr:uid="{00000000-0005-0000-0000-0000CE010000}"/>
    <cellStyle name="標準 2 2 5 2" xfId="794" xr:uid="{00000000-0005-0000-0000-0000CF010000}"/>
    <cellStyle name="標準 2 2 5 2 2" xfId="832" xr:uid="{00000000-0005-0000-0000-0000D0010000}"/>
    <cellStyle name="標準 2 2 5 2 2 2" xfId="905" xr:uid="{00000000-0005-0000-0000-0000D1010000}"/>
    <cellStyle name="標準 2 2 5 2 2 2 2" xfId="1051" xr:uid="{00000000-0005-0000-0000-0000D2010000}"/>
    <cellStyle name="標準 2 2 5 2 2 3" xfId="978" xr:uid="{00000000-0005-0000-0000-0000D3010000}"/>
    <cellStyle name="標準 2 2 5 2 3" xfId="868" xr:uid="{00000000-0005-0000-0000-0000D4010000}"/>
    <cellStyle name="標準 2 2 5 2 3 2" xfId="1014" xr:uid="{00000000-0005-0000-0000-0000D5010000}"/>
    <cellStyle name="標準 2 2 5 2 4" xfId="941" xr:uid="{00000000-0005-0000-0000-0000D6010000}"/>
    <cellStyle name="標準 2 2 5 3" xfId="816" xr:uid="{00000000-0005-0000-0000-0000D7010000}"/>
    <cellStyle name="標準 2 2 5 3 2" xfId="889" xr:uid="{00000000-0005-0000-0000-0000D8010000}"/>
    <cellStyle name="標準 2 2 5 3 2 2" xfId="1035" xr:uid="{00000000-0005-0000-0000-0000D9010000}"/>
    <cellStyle name="標準 2 2 5 3 3" xfId="962" xr:uid="{00000000-0005-0000-0000-0000DA010000}"/>
    <cellStyle name="標準 2 2 5 4" xfId="852" xr:uid="{00000000-0005-0000-0000-0000DB010000}"/>
    <cellStyle name="標準 2 2 5 4 2" xfId="998" xr:uid="{00000000-0005-0000-0000-0000DC010000}"/>
    <cellStyle name="標準 2 2 5 5" xfId="925" xr:uid="{00000000-0005-0000-0000-0000DD010000}"/>
    <cellStyle name="標準 2 2 6" xfId="780" xr:uid="{00000000-0005-0000-0000-0000DE010000}"/>
    <cellStyle name="標準 2 2 6 2" xfId="818" xr:uid="{00000000-0005-0000-0000-0000DF010000}"/>
    <cellStyle name="標準 2 2 6 2 2" xfId="891" xr:uid="{00000000-0005-0000-0000-0000E0010000}"/>
    <cellStyle name="標準 2 2 6 2 2 2" xfId="1037" xr:uid="{00000000-0005-0000-0000-0000E1010000}"/>
    <cellStyle name="標準 2 2 6 2 3" xfId="964" xr:uid="{00000000-0005-0000-0000-0000E2010000}"/>
    <cellStyle name="標準 2 2 6 3" xfId="854" xr:uid="{00000000-0005-0000-0000-0000E3010000}"/>
    <cellStyle name="標準 2 2 6 3 2" xfId="1000" xr:uid="{00000000-0005-0000-0000-0000E4010000}"/>
    <cellStyle name="標準 2 2 6 4" xfId="927" xr:uid="{00000000-0005-0000-0000-0000E5010000}"/>
    <cellStyle name="標準 2 2 7" xfId="764" xr:uid="{00000000-0005-0000-0000-0000E6010000}"/>
    <cellStyle name="標準 2 2 7 2" xfId="802" xr:uid="{00000000-0005-0000-0000-0000E7010000}"/>
    <cellStyle name="標準 2 2 7 2 2" xfId="875" xr:uid="{00000000-0005-0000-0000-0000E8010000}"/>
    <cellStyle name="標準 2 2 7 2 2 2" xfId="1021" xr:uid="{00000000-0005-0000-0000-0000E9010000}"/>
    <cellStyle name="標準 2 2 7 2 3" xfId="948" xr:uid="{00000000-0005-0000-0000-0000EA010000}"/>
    <cellStyle name="標準 2 2 7 3" xfId="838" xr:uid="{00000000-0005-0000-0000-0000EB010000}"/>
    <cellStyle name="標準 2 2 7 3 2" xfId="984" xr:uid="{00000000-0005-0000-0000-0000EC010000}"/>
    <cellStyle name="標準 2 2 7 4" xfId="911" xr:uid="{00000000-0005-0000-0000-0000ED010000}"/>
    <cellStyle name="標準 2 2 8" xfId="798" xr:uid="{00000000-0005-0000-0000-0000EE010000}"/>
    <cellStyle name="標準 2 2 8 2" xfId="871" xr:uid="{00000000-0005-0000-0000-0000EF010000}"/>
    <cellStyle name="標準 2 2 8 2 2" xfId="1017" xr:uid="{00000000-0005-0000-0000-0000F0010000}"/>
    <cellStyle name="標準 2 2 8 3" xfId="944" xr:uid="{00000000-0005-0000-0000-0000F1010000}"/>
    <cellStyle name="標準 2 2 9" xfId="834" xr:uid="{00000000-0005-0000-0000-0000F2010000}"/>
    <cellStyle name="標準 2 2 9 2" xfId="980" xr:uid="{00000000-0005-0000-0000-0000F3010000}"/>
    <cellStyle name="標準 2 3" xfId="761" xr:uid="{00000000-0005-0000-0000-0000F4010000}"/>
    <cellStyle name="標準 2 3 2" xfId="771" xr:uid="{00000000-0005-0000-0000-0000F5010000}"/>
    <cellStyle name="標準 2 3 2 2" xfId="787" xr:uid="{00000000-0005-0000-0000-0000F6010000}"/>
    <cellStyle name="標準 2 3 2 2 2" xfId="825" xr:uid="{00000000-0005-0000-0000-0000F7010000}"/>
    <cellStyle name="標準 2 3 2 2 2 2" xfId="898" xr:uid="{00000000-0005-0000-0000-0000F8010000}"/>
    <cellStyle name="標準 2 3 2 2 2 2 2" xfId="1044" xr:uid="{00000000-0005-0000-0000-0000F9010000}"/>
    <cellStyle name="標準 2 3 2 2 2 3" xfId="971" xr:uid="{00000000-0005-0000-0000-0000FA010000}"/>
    <cellStyle name="標準 2 3 2 2 3" xfId="861" xr:uid="{00000000-0005-0000-0000-0000FB010000}"/>
    <cellStyle name="標準 2 3 2 2 3 2" xfId="1007" xr:uid="{00000000-0005-0000-0000-0000FC010000}"/>
    <cellStyle name="標準 2 3 2 2 4" xfId="934" xr:uid="{00000000-0005-0000-0000-0000FD010000}"/>
    <cellStyle name="標準 2 3 2 3" xfId="809" xr:uid="{00000000-0005-0000-0000-0000FE010000}"/>
    <cellStyle name="標準 2 3 2 3 2" xfId="882" xr:uid="{00000000-0005-0000-0000-0000FF010000}"/>
    <cellStyle name="標準 2 3 2 3 2 2" xfId="1028" xr:uid="{00000000-0005-0000-0000-000000020000}"/>
    <cellStyle name="標準 2 3 2 3 3" xfId="955" xr:uid="{00000000-0005-0000-0000-000001020000}"/>
    <cellStyle name="標準 2 3 2 4" xfId="845" xr:uid="{00000000-0005-0000-0000-000002020000}"/>
    <cellStyle name="標準 2 3 2 4 2" xfId="991" xr:uid="{00000000-0005-0000-0000-000003020000}"/>
    <cellStyle name="標準 2 3 2 5" xfId="918" xr:uid="{00000000-0005-0000-0000-000004020000}"/>
    <cellStyle name="標準 2 3 3" xfId="781" xr:uid="{00000000-0005-0000-0000-000005020000}"/>
    <cellStyle name="標準 2 3 3 2" xfId="819" xr:uid="{00000000-0005-0000-0000-000006020000}"/>
    <cellStyle name="標準 2 3 3 2 2" xfId="892" xr:uid="{00000000-0005-0000-0000-000007020000}"/>
    <cellStyle name="標準 2 3 3 2 2 2" xfId="1038" xr:uid="{00000000-0005-0000-0000-000008020000}"/>
    <cellStyle name="標準 2 3 3 2 3" xfId="965" xr:uid="{00000000-0005-0000-0000-000009020000}"/>
    <cellStyle name="標準 2 3 3 3" xfId="855" xr:uid="{00000000-0005-0000-0000-00000A020000}"/>
    <cellStyle name="標準 2 3 3 3 2" xfId="1001" xr:uid="{00000000-0005-0000-0000-00000B020000}"/>
    <cellStyle name="標準 2 3 3 4" xfId="928" xr:uid="{00000000-0005-0000-0000-00000C020000}"/>
    <cellStyle name="標準 2 3 4" xfId="765" xr:uid="{00000000-0005-0000-0000-00000D020000}"/>
    <cellStyle name="標準 2 3 4 2" xfId="803" xr:uid="{00000000-0005-0000-0000-00000E020000}"/>
    <cellStyle name="標準 2 3 4 2 2" xfId="876" xr:uid="{00000000-0005-0000-0000-00000F020000}"/>
    <cellStyle name="標準 2 3 4 2 2 2" xfId="1022" xr:uid="{00000000-0005-0000-0000-000010020000}"/>
    <cellStyle name="標準 2 3 4 2 3" xfId="949" xr:uid="{00000000-0005-0000-0000-000011020000}"/>
    <cellStyle name="標準 2 3 4 3" xfId="839" xr:uid="{00000000-0005-0000-0000-000012020000}"/>
    <cellStyle name="標準 2 3 4 3 2" xfId="985" xr:uid="{00000000-0005-0000-0000-000013020000}"/>
    <cellStyle name="標準 2 3 4 4" xfId="912" xr:uid="{00000000-0005-0000-0000-000014020000}"/>
    <cellStyle name="標準 2 3 5" xfId="799" xr:uid="{00000000-0005-0000-0000-000015020000}"/>
    <cellStyle name="標準 2 3 5 2" xfId="872" xr:uid="{00000000-0005-0000-0000-000016020000}"/>
    <cellStyle name="標準 2 3 5 2 2" xfId="1018" xr:uid="{00000000-0005-0000-0000-000017020000}"/>
    <cellStyle name="標準 2 3 5 3" xfId="945" xr:uid="{00000000-0005-0000-0000-000018020000}"/>
    <cellStyle name="標準 2 3 6" xfId="835" xr:uid="{00000000-0005-0000-0000-000019020000}"/>
    <cellStyle name="標準 2 3 6 2" xfId="981" xr:uid="{00000000-0005-0000-0000-00001A020000}"/>
    <cellStyle name="標準 2 3 7" xfId="908" xr:uid="{00000000-0005-0000-0000-00001B020000}"/>
    <cellStyle name="標準 2 4" xfId="767" xr:uid="{00000000-0005-0000-0000-00001C020000}"/>
    <cellStyle name="標準 2 4 2" xfId="773" xr:uid="{00000000-0005-0000-0000-00001D020000}"/>
    <cellStyle name="標準 2 4 2 2" xfId="789" xr:uid="{00000000-0005-0000-0000-00001E020000}"/>
    <cellStyle name="標準 2 4 2 2 2" xfId="827" xr:uid="{00000000-0005-0000-0000-00001F020000}"/>
    <cellStyle name="標準 2 4 2 2 2 2" xfId="900" xr:uid="{00000000-0005-0000-0000-000020020000}"/>
    <cellStyle name="標準 2 4 2 2 2 2 2" xfId="1046" xr:uid="{00000000-0005-0000-0000-000021020000}"/>
    <cellStyle name="標準 2 4 2 2 2 3" xfId="973" xr:uid="{00000000-0005-0000-0000-000022020000}"/>
    <cellStyle name="標準 2 4 2 2 3" xfId="863" xr:uid="{00000000-0005-0000-0000-000023020000}"/>
    <cellStyle name="標準 2 4 2 2 3 2" xfId="1009" xr:uid="{00000000-0005-0000-0000-000024020000}"/>
    <cellStyle name="標準 2 4 2 2 4" xfId="936" xr:uid="{00000000-0005-0000-0000-000025020000}"/>
    <cellStyle name="標準 2 4 2 3" xfId="811" xr:uid="{00000000-0005-0000-0000-000026020000}"/>
    <cellStyle name="標準 2 4 2 3 2" xfId="884" xr:uid="{00000000-0005-0000-0000-000027020000}"/>
    <cellStyle name="標準 2 4 2 3 2 2" xfId="1030" xr:uid="{00000000-0005-0000-0000-000028020000}"/>
    <cellStyle name="標準 2 4 2 3 3" xfId="957" xr:uid="{00000000-0005-0000-0000-000029020000}"/>
    <cellStyle name="標準 2 4 2 4" xfId="847" xr:uid="{00000000-0005-0000-0000-00002A020000}"/>
    <cellStyle name="標準 2 4 2 4 2" xfId="993" xr:uid="{00000000-0005-0000-0000-00002B020000}"/>
    <cellStyle name="標準 2 4 2 5" xfId="920" xr:uid="{00000000-0005-0000-0000-00002C020000}"/>
    <cellStyle name="標準 2 4 3" xfId="783" xr:uid="{00000000-0005-0000-0000-00002D020000}"/>
    <cellStyle name="標準 2 4 3 2" xfId="821" xr:uid="{00000000-0005-0000-0000-00002E020000}"/>
    <cellStyle name="標準 2 4 3 2 2" xfId="894" xr:uid="{00000000-0005-0000-0000-00002F020000}"/>
    <cellStyle name="標準 2 4 3 2 2 2" xfId="1040" xr:uid="{00000000-0005-0000-0000-000030020000}"/>
    <cellStyle name="標準 2 4 3 2 3" xfId="967" xr:uid="{00000000-0005-0000-0000-000031020000}"/>
    <cellStyle name="標準 2 4 3 3" xfId="857" xr:uid="{00000000-0005-0000-0000-000032020000}"/>
    <cellStyle name="標準 2 4 3 3 2" xfId="1003" xr:uid="{00000000-0005-0000-0000-000033020000}"/>
    <cellStyle name="標準 2 4 3 4" xfId="930" xr:uid="{00000000-0005-0000-0000-000034020000}"/>
    <cellStyle name="標準 2 4 4" xfId="805" xr:uid="{00000000-0005-0000-0000-000035020000}"/>
    <cellStyle name="標準 2 4 4 2" xfId="878" xr:uid="{00000000-0005-0000-0000-000036020000}"/>
    <cellStyle name="標準 2 4 4 2 2" xfId="1024" xr:uid="{00000000-0005-0000-0000-000037020000}"/>
    <cellStyle name="標準 2 4 4 3" xfId="951" xr:uid="{00000000-0005-0000-0000-000038020000}"/>
    <cellStyle name="標準 2 4 5" xfId="841" xr:uid="{00000000-0005-0000-0000-000039020000}"/>
    <cellStyle name="標準 2 4 5 2" xfId="987" xr:uid="{00000000-0005-0000-0000-00003A020000}"/>
    <cellStyle name="標準 2 4 6" xfId="914" xr:uid="{00000000-0005-0000-0000-00003B020000}"/>
    <cellStyle name="標準 2 5" xfId="769" xr:uid="{00000000-0005-0000-0000-00003C020000}"/>
    <cellStyle name="標準 2 5 2" xfId="785" xr:uid="{00000000-0005-0000-0000-00003D020000}"/>
    <cellStyle name="標準 2 5 2 2" xfId="823" xr:uid="{00000000-0005-0000-0000-00003E020000}"/>
    <cellStyle name="標準 2 5 2 2 2" xfId="896" xr:uid="{00000000-0005-0000-0000-00003F020000}"/>
    <cellStyle name="標準 2 5 2 2 2 2" xfId="1042" xr:uid="{00000000-0005-0000-0000-000040020000}"/>
    <cellStyle name="標準 2 5 2 2 3" xfId="969" xr:uid="{00000000-0005-0000-0000-000041020000}"/>
    <cellStyle name="標準 2 5 2 3" xfId="859" xr:uid="{00000000-0005-0000-0000-000042020000}"/>
    <cellStyle name="標準 2 5 2 3 2" xfId="1005" xr:uid="{00000000-0005-0000-0000-000043020000}"/>
    <cellStyle name="標準 2 5 2 4" xfId="932" xr:uid="{00000000-0005-0000-0000-000044020000}"/>
    <cellStyle name="標準 2 5 3" xfId="807" xr:uid="{00000000-0005-0000-0000-000045020000}"/>
    <cellStyle name="標準 2 5 3 2" xfId="880" xr:uid="{00000000-0005-0000-0000-000046020000}"/>
    <cellStyle name="標準 2 5 3 2 2" xfId="1026" xr:uid="{00000000-0005-0000-0000-000047020000}"/>
    <cellStyle name="標準 2 5 3 3" xfId="953" xr:uid="{00000000-0005-0000-0000-000048020000}"/>
    <cellStyle name="標準 2 5 4" xfId="843" xr:uid="{00000000-0005-0000-0000-000049020000}"/>
    <cellStyle name="標準 2 5 4 2" xfId="989" xr:uid="{00000000-0005-0000-0000-00004A020000}"/>
    <cellStyle name="標準 2 5 5" xfId="916" xr:uid="{00000000-0005-0000-0000-00004B020000}"/>
    <cellStyle name="標準 2 6" xfId="775" xr:uid="{00000000-0005-0000-0000-00004C020000}"/>
    <cellStyle name="標準 2 6 2" xfId="791" xr:uid="{00000000-0005-0000-0000-00004D020000}"/>
    <cellStyle name="標準 2 6 2 2" xfId="829" xr:uid="{00000000-0005-0000-0000-00004E020000}"/>
    <cellStyle name="標準 2 6 2 2 2" xfId="902" xr:uid="{00000000-0005-0000-0000-00004F020000}"/>
    <cellStyle name="標準 2 6 2 2 2 2" xfId="1048" xr:uid="{00000000-0005-0000-0000-000050020000}"/>
    <cellStyle name="標準 2 6 2 2 3" xfId="975" xr:uid="{00000000-0005-0000-0000-000051020000}"/>
    <cellStyle name="標準 2 6 2 3" xfId="865" xr:uid="{00000000-0005-0000-0000-000052020000}"/>
    <cellStyle name="標準 2 6 2 3 2" xfId="1011" xr:uid="{00000000-0005-0000-0000-000053020000}"/>
    <cellStyle name="標準 2 6 2 4" xfId="938" xr:uid="{00000000-0005-0000-0000-000054020000}"/>
    <cellStyle name="標準 2 6 3" xfId="813" xr:uid="{00000000-0005-0000-0000-000055020000}"/>
    <cellStyle name="標準 2 6 3 2" xfId="886" xr:uid="{00000000-0005-0000-0000-000056020000}"/>
    <cellStyle name="標準 2 6 3 2 2" xfId="1032" xr:uid="{00000000-0005-0000-0000-000057020000}"/>
    <cellStyle name="標準 2 6 3 3" xfId="959" xr:uid="{00000000-0005-0000-0000-000058020000}"/>
    <cellStyle name="標準 2 6 4" xfId="849" xr:uid="{00000000-0005-0000-0000-000059020000}"/>
    <cellStyle name="標準 2 6 4 2" xfId="995" xr:uid="{00000000-0005-0000-0000-00005A020000}"/>
    <cellStyle name="標準 2 6 5" xfId="922" xr:uid="{00000000-0005-0000-0000-00005B020000}"/>
    <cellStyle name="標準 2 7" xfId="777" xr:uid="{00000000-0005-0000-0000-00005C020000}"/>
    <cellStyle name="標準 2 7 2" xfId="793" xr:uid="{00000000-0005-0000-0000-00005D020000}"/>
    <cellStyle name="標準 2 7 2 2" xfId="831" xr:uid="{00000000-0005-0000-0000-00005E020000}"/>
    <cellStyle name="標準 2 7 2 2 2" xfId="904" xr:uid="{00000000-0005-0000-0000-00005F020000}"/>
    <cellStyle name="標準 2 7 2 2 2 2" xfId="1050" xr:uid="{00000000-0005-0000-0000-000060020000}"/>
    <cellStyle name="標準 2 7 2 2 3" xfId="977" xr:uid="{00000000-0005-0000-0000-000061020000}"/>
    <cellStyle name="標準 2 7 2 3" xfId="867" xr:uid="{00000000-0005-0000-0000-000062020000}"/>
    <cellStyle name="標準 2 7 2 3 2" xfId="1013" xr:uid="{00000000-0005-0000-0000-000063020000}"/>
    <cellStyle name="標準 2 7 2 4" xfId="940" xr:uid="{00000000-0005-0000-0000-000064020000}"/>
    <cellStyle name="標準 2 7 3" xfId="815" xr:uid="{00000000-0005-0000-0000-000065020000}"/>
    <cellStyle name="標準 2 7 3 2" xfId="888" xr:uid="{00000000-0005-0000-0000-000066020000}"/>
    <cellStyle name="標準 2 7 3 2 2" xfId="1034" xr:uid="{00000000-0005-0000-0000-000067020000}"/>
    <cellStyle name="標準 2 7 3 3" xfId="961" xr:uid="{00000000-0005-0000-0000-000068020000}"/>
    <cellStyle name="標準 2 7 4" xfId="851" xr:uid="{00000000-0005-0000-0000-000069020000}"/>
    <cellStyle name="標準 2 7 4 2" xfId="997" xr:uid="{00000000-0005-0000-0000-00006A020000}"/>
    <cellStyle name="標準 2 7 5" xfId="924" xr:uid="{00000000-0005-0000-0000-00006B020000}"/>
    <cellStyle name="標準 2 8" xfId="779" xr:uid="{00000000-0005-0000-0000-00006C020000}"/>
    <cellStyle name="標準 2 8 2" xfId="817" xr:uid="{00000000-0005-0000-0000-00006D020000}"/>
    <cellStyle name="標準 2 8 2 2" xfId="890" xr:uid="{00000000-0005-0000-0000-00006E020000}"/>
    <cellStyle name="標準 2 8 2 2 2" xfId="1036" xr:uid="{00000000-0005-0000-0000-00006F020000}"/>
    <cellStyle name="標準 2 8 2 3" xfId="963" xr:uid="{00000000-0005-0000-0000-000070020000}"/>
    <cellStyle name="標準 2 8 3" xfId="853" xr:uid="{00000000-0005-0000-0000-000071020000}"/>
    <cellStyle name="標準 2 8 3 2" xfId="999" xr:uid="{00000000-0005-0000-0000-000072020000}"/>
    <cellStyle name="標準 2 8 4" xfId="926" xr:uid="{00000000-0005-0000-0000-000073020000}"/>
    <cellStyle name="標準 2 9" xfId="763" xr:uid="{00000000-0005-0000-0000-000074020000}"/>
    <cellStyle name="標準 2 9 2" xfId="801" xr:uid="{00000000-0005-0000-0000-000075020000}"/>
    <cellStyle name="標準 2 9 2 2" xfId="874" xr:uid="{00000000-0005-0000-0000-000076020000}"/>
    <cellStyle name="標準 2 9 2 2 2" xfId="1020" xr:uid="{00000000-0005-0000-0000-000077020000}"/>
    <cellStyle name="標準 2 9 2 3" xfId="947" xr:uid="{00000000-0005-0000-0000-000078020000}"/>
    <cellStyle name="標準 2 9 3" xfId="837" xr:uid="{00000000-0005-0000-0000-000079020000}"/>
    <cellStyle name="標準 2 9 3 2" xfId="983" xr:uid="{00000000-0005-0000-0000-00007A020000}"/>
    <cellStyle name="標準 2 9 4" xfId="910" xr:uid="{00000000-0005-0000-0000-00007B020000}"/>
    <cellStyle name="標準 3" xfId="768" xr:uid="{00000000-0005-0000-0000-00007C020000}"/>
    <cellStyle name="標準 3 2" xfId="774" xr:uid="{00000000-0005-0000-0000-00007D020000}"/>
    <cellStyle name="標準 3 2 2" xfId="790" xr:uid="{00000000-0005-0000-0000-00007E020000}"/>
    <cellStyle name="標準 3 2 2 2" xfId="828" xr:uid="{00000000-0005-0000-0000-00007F020000}"/>
    <cellStyle name="標準 3 2 2 2 2" xfId="901" xr:uid="{00000000-0005-0000-0000-000080020000}"/>
    <cellStyle name="標準 3 2 2 2 2 2" xfId="1047" xr:uid="{00000000-0005-0000-0000-000081020000}"/>
    <cellStyle name="標準 3 2 2 2 3" xfId="974" xr:uid="{00000000-0005-0000-0000-000082020000}"/>
    <cellStyle name="標準 3 2 2 3" xfId="864" xr:uid="{00000000-0005-0000-0000-000083020000}"/>
    <cellStyle name="標準 3 2 2 3 2" xfId="1010" xr:uid="{00000000-0005-0000-0000-000084020000}"/>
    <cellStyle name="標準 3 2 2 4" xfId="937" xr:uid="{00000000-0005-0000-0000-000085020000}"/>
    <cellStyle name="標準 3 2 3" xfId="812" xr:uid="{00000000-0005-0000-0000-000086020000}"/>
    <cellStyle name="標準 3 2 3 2" xfId="885" xr:uid="{00000000-0005-0000-0000-000087020000}"/>
    <cellStyle name="標準 3 2 3 2 2" xfId="1031" xr:uid="{00000000-0005-0000-0000-000088020000}"/>
    <cellStyle name="標準 3 2 3 3" xfId="958" xr:uid="{00000000-0005-0000-0000-000089020000}"/>
    <cellStyle name="標準 3 2 4" xfId="848" xr:uid="{00000000-0005-0000-0000-00008A020000}"/>
    <cellStyle name="標準 3 2 4 2" xfId="994" xr:uid="{00000000-0005-0000-0000-00008B020000}"/>
    <cellStyle name="標準 3 2 5" xfId="921" xr:uid="{00000000-0005-0000-0000-00008C020000}"/>
    <cellStyle name="標準 3 3" xfId="784" xr:uid="{00000000-0005-0000-0000-00008D020000}"/>
    <cellStyle name="標準 3 3 2" xfId="822" xr:uid="{00000000-0005-0000-0000-00008E020000}"/>
    <cellStyle name="標準 3 3 2 2" xfId="895" xr:uid="{00000000-0005-0000-0000-00008F020000}"/>
    <cellStyle name="標準 3 3 2 2 2" xfId="1041" xr:uid="{00000000-0005-0000-0000-000090020000}"/>
    <cellStyle name="標準 3 3 2 3" xfId="968" xr:uid="{00000000-0005-0000-0000-000091020000}"/>
    <cellStyle name="標準 3 3 3" xfId="858" xr:uid="{00000000-0005-0000-0000-000092020000}"/>
    <cellStyle name="標準 3 3 3 2" xfId="1004" xr:uid="{00000000-0005-0000-0000-000093020000}"/>
    <cellStyle name="標準 3 3 4" xfId="931" xr:uid="{00000000-0005-0000-0000-000094020000}"/>
    <cellStyle name="標準 3 4" xfId="806" xr:uid="{00000000-0005-0000-0000-000095020000}"/>
    <cellStyle name="標準 3 4 2" xfId="879" xr:uid="{00000000-0005-0000-0000-000096020000}"/>
    <cellStyle name="標準 3 4 2 2" xfId="1025" xr:uid="{00000000-0005-0000-0000-000097020000}"/>
    <cellStyle name="標準 3 4 3" xfId="952" xr:uid="{00000000-0005-0000-0000-000098020000}"/>
    <cellStyle name="標準 3 5" xfId="842" xr:uid="{00000000-0005-0000-0000-000099020000}"/>
    <cellStyle name="標準 3 5 2" xfId="988" xr:uid="{00000000-0005-0000-0000-00009A020000}"/>
    <cellStyle name="標準 3 6" xfId="915" xr:uid="{00000000-0005-0000-0000-00009B020000}"/>
    <cellStyle name="標準 4" xfId="796" xr:uid="{00000000-0005-0000-0000-00009C020000}"/>
    <cellStyle name="標準 5" xfId="795" xr:uid="{00000000-0005-0000-0000-00009D020000}"/>
    <cellStyle name="標準 5 2" xfId="869" xr:uid="{00000000-0005-0000-0000-00009E020000}"/>
    <cellStyle name="標準 5 2 2" xfId="1015" xr:uid="{00000000-0005-0000-0000-00009F020000}"/>
    <cellStyle name="標準 5 3" xfId="942" xr:uid="{00000000-0005-0000-0000-0000A0020000}"/>
    <cellStyle name="標準_コマンドリスト" xfId="2" xr:uid="{00000000-0005-0000-0000-0000A1020000}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8" builtinId="9" hidden="1"/>
    <cellStyle name="表示済みのハイパーリンク" xfId="760" builtinId="9" hidden="1"/>
  </cellStyles>
  <dxfs count="574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6E6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00"/>
      <color rgb="FF66FF66"/>
      <color rgb="FF66FFFF"/>
      <color rgb="FFFFF2B9"/>
      <color rgb="FF99FFCC"/>
      <color rgb="FFCCFFCC"/>
      <color rgb="FF99FF99"/>
      <color rgb="FF66FF99"/>
      <color rgb="FFFFE26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38100</xdr:rowOff>
        </xdr:from>
        <xdr:to>
          <xdr:col>3</xdr:col>
          <xdr:colOff>447675</xdr:colOff>
          <xdr:row>4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コマンドID振り直し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7620</xdr:colOff>
      <xdr:row>3</xdr:row>
      <xdr:rowOff>0</xdr:rowOff>
    </xdr:from>
    <xdr:to>
      <xdr:col>9</xdr:col>
      <xdr:colOff>0</xdr:colOff>
      <xdr:row>6</xdr:row>
      <xdr:rowOff>114300</xdr:rowOff>
    </xdr:to>
    <xdr:sp macro="[0]!writeCSV.writeCSV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4526280" y="556260"/>
          <a:ext cx="1821180" cy="662940"/>
        </a:xfrm>
        <a:prstGeom prst="bevel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 b="1" i="0"/>
            <a:t>CSV</a:t>
          </a:r>
          <a:r>
            <a:rPr kumimoji="1" lang="ja-JP" altLang="en-US" sz="1100" b="1" i="0"/>
            <a:t>書き出し</a:t>
          </a:r>
        </a:p>
      </xdr:txBody>
    </xdr:sp>
    <xdr:clientData/>
  </xdr:twoCellAnchor>
  <xdr:twoCellAnchor>
    <xdr:from>
      <xdr:col>10</xdr:col>
      <xdr:colOff>7620</xdr:colOff>
      <xdr:row>3</xdr:row>
      <xdr:rowOff>7620</xdr:rowOff>
    </xdr:from>
    <xdr:to>
      <xdr:col>13</xdr:col>
      <xdr:colOff>0</xdr:colOff>
      <xdr:row>6</xdr:row>
      <xdr:rowOff>121920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964680" y="563880"/>
          <a:ext cx="1821180" cy="662940"/>
        </a:xfrm>
        <a:prstGeom prst="bevel">
          <a:avLst/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 b="1">
              <a:solidFill>
                <a:schemeClr val="bg1"/>
              </a:solidFill>
            </a:rPr>
            <a:t>CSV</a:t>
          </a:r>
          <a:r>
            <a:rPr kumimoji="1" lang="ja-JP" altLang="en-US" sz="1100" b="1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H28"/>
  <sheetViews>
    <sheetView tabSelected="1" workbookViewId="0"/>
  </sheetViews>
  <sheetFormatPr defaultColWidth="8.875" defaultRowHeight="15"/>
  <cols>
    <col min="2" max="2" width="11.5" bestFit="1" customWidth="1"/>
    <col min="4" max="5" width="13.875" bestFit="1" customWidth="1"/>
  </cols>
  <sheetData>
    <row r="1" spans="2:8" ht="15.75" thickBot="1">
      <c r="G1" s="68" t="s">
        <v>179</v>
      </c>
      <c r="H1" s="69" t="s">
        <v>178</v>
      </c>
    </row>
    <row r="2" spans="2:8">
      <c r="G2" s="67"/>
    </row>
    <row r="7" spans="2:8" ht="15.75" thickBot="1">
      <c r="B7" t="s">
        <v>218</v>
      </c>
    </row>
    <row r="8" spans="2:8" ht="15.75" thickBot="1">
      <c r="B8" s="57" t="s">
        <v>219</v>
      </c>
      <c r="C8" s="59" t="s">
        <v>220</v>
      </c>
      <c r="D8" s="55" t="s">
        <v>221</v>
      </c>
      <c r="E8" s="56" t="s">
        <v>222</v>
      </c>
    </row>
    <row r="9" spans="2:8" ht="15.75" thickTop="1">
      <c r="B9" s="58" t="s">
        <v>229</v>
      </c>
      <c r="C9" s="60">
        <f>16*16</f>
        <v>256</v>
      </c>
      <c r="D9" s="50" t="str">
        <f>DEC2HEX(0, 4)</f>
        <v>0000</v>
      </c>
      <c r="E9" s="51" t="str">
        <f>DEC2HEX(HEX2DEC(D9)+C9-1, 4)</f>
        <v>00FF</v>
      </c>
    </row>
    <row r="10" spans="2:8">
      <c r="B10" s="58" t="s">
        <v>230</v>
      </c>
      <c r="C10" s="61">
        <f>16*16</f>
        <v>256</v>
      </c>
      <c r="D10" s="50" t="str">
        <f>DEC2HEX(HEX2DEC(E9)+1, 4)</f>
        <v>0100</v>
      </c>
      <c r="E10" s="51" t="str">
        <f>DEC2HEX(HEX2DEC(D10)+C10-1, 4)</f>
        <v>01FF</v>
      </c>
    </row>
    <row r="11" spans="2:8">
      <c r="B11" s="58" t="s">
        <v>231</v>
      </c>
      <c r="C11" s="61">
        <v>96</v>
      </c>
      <c r="D11" s="50" t="str">
        <f>DEC2HEX(HEX2DEC(E10)+1, 4)</f>
        <v>0200</v>
      </c>
      <c r="E11" s="51" t="str">
        <f>DEC2HEX(HEX2DEC(D11)+C11-1, 4)</f>
        <v>025F</v>
      </c>
    </row>
    <row r="12" spans="2:8">
      <c r="B12" s="58" t="s">
        <v>232</v>
      </c>
      <c r="C12" s="61">
        <f>4*16</f>
        <v>64</v>
      </c>
      <c r="D12" s="50" t="str">
        <f>DEC2HEX(HEX2DEC(E11)+1, 4)</f>
        <v>0260</v>
      </c>
      <c r="E12" s="51" t="str">
        <f>DEC2HEX(HEX2DEC(D12)+C12-1, 4)</f>
        <v>029F</v>
      </c>
    </row>
    <row r="13" spans="2:8">
      <c r="B13" s="58" t="s">
        <v>233</v>
      </c>
      <c r="C13" s="61">
        <v>128</v>
      </c>
      <c r="D13" s="50" t="str">
        <f>DEC2HEX(HEX2DEC(E12)+1, 4)</f>
        <v>02A0</v>
      </c>
      <c r="E13" s="51" t="str">
        <f>DEC2HEX(HEX2DEC(D13)+C13-1, 4)</f>
        <v>031F</v>
      </c>
    </row>
    <row r="14" spans="2:8">
      <c r="B14" s="58" t="s">
        <v>163</v>
      </c>
      <c r="C14" s="61">
        <v>80</v>
      </c>
      <c r="D14" s="50" t="str">
        <f>DEC2HEX(HEX2DEC(E13)+1, 4)</f>
        <v>0320</v>
      </c>
      <c r="E14" s="51" t="str">
        <f>DEC2HEX(HEX2DEC(D14)+C14-1, 4)</f>
        <v>036F</v>
      </c>
    </row>
    <row r="15" spans="2:8">
      <c r="B15" s="58" t="s">
        <v>234</v>
      </c>
      <c r="C15" s="61">
        <f>4*16</f>
        <v>64</v>
      </c>
      <c r="D15" s="50" t="str">
        <f>DEC2HEX(HEX2DEC(E14)+1, 4)</f>
        <v>0370</v>
      </c>
      <c r="E15" s="51" t="str">
        <f>DEC2HEX(HEX2DEC(D15)+C15-1, 4)</f>
        <v>03AF</v>
      </c>
    </row>
    <row r="16" spans="2:8">
      <c r="B16" s="58" t="s">
        <v>235</v>
      </c>
      <c r="C16" s="61">
        <f>2*16</f>
        <v>32</v>
      </c>
      <c r="D16" s="50" t="str">
        <f>DEC2HEX(HEX2DEC(E15)+1, 4)</f>
        <v>03B0</v>
      </c>
      <c r="E16" s="51" t="str">
        <f>DEC2HEX(HEX2DEC(D16)+C16-1, 4)</f>
        <v>03CF</v>
      </c>
    </row>
    <row r="17" spans="2:5">
      <c r="B17" s="58" t="s">
        <v>236</v>
      </c>
      <c r="C17" s="61">
        <f>1*16</f>
        <v>16</v>
      </c>
      <c r="D17" s="50" t="str">
        <f>DEC2HEX(HEX2DEC(E16)+1, 4)</f>
        <v>03D0</v>
      </c>
      <c r="E17" s="51" t="str">
        <f>DEC2HEX(HEX2DEC(D17)+C17-1, 4)</f>
        <v>03DF</v>
      </c>
    </row>
    <row r="18" spans="2:5">
      <c r="B18" s="58" t="s">
        <v>237</v>
      </c>
      <c r="C18" s="61">
        <f>1*16</f>
        <v>16</v>
      </c>
      <c r="D18" s="50" t="str">
        <f>DEC2HEX(HEX2DEC(E17)+1, 4)</f>
        <v>03E0</v>
      </c>
      <c r="E18" s="51" t="str">
        <f>DEC2HEX(HEX2DEC(D18)+C18-1, 4)</f>
        <v>03EF</v>
      </c>
    </row>
    <row r="19" spans="2:5">
      <c r="B19" s="58" t="s">
        <v>238</v>
      </c>
      <c r="C19" s="61">
        <v>0</v>
      </c>
      <c r="D19" s="99" t="str">
        <f>DEC2HEX(HEX2DEC(E18)+1, 4)</f>
        <v>03F0</v>
      </c>
      <c r="E19" s="51" t="str">
        <f>DEC2HEX(HEX2DEC(D19)+C19-1, 4)</f>
        <v>03EF</v>
      </c>
    </row>
    <row r="20" spans="2:5">
      <c r="B20" s="58" t="s">
        <v>239</v>
      </c>
      <c r="C20" s="61">
        <v>0</v>
      </c>
      <c r="D20" s="99" t="str">
        <f>DEC2HEX(HEX2DEC(E19)+1, 4)</f>
        <v>03F0</v>
      </c>
      <c r="E20" s="51" t="str">
        <f>DEC2HEX(HEX2DEC(D20)+C20-1, 4)</f>
        <v>03EF</v>
      </c>
    </row>
    <row r="21" spans="2:5">
      <c r="B21" s="58" t="s">
        <v>240</v>
      </c>
      <c r="C21" s="103">
        <v>0</v>
      </c>
      <c r="D21" s="99" t="str">
        <f>DEC2HEX(HEX2DEC(E20)+1, 4)</f>
        <v>03F0</v>
      </c>
      <c r="E21" s="51" t="str">
        <f>DEC2HEX(HEX2DEC(D21)+C21-1, 4)</f>
        <v>03EF</v>
      </c>
    </row>
    <row r="22" spans="2:5">
      <c r="B22" s="58" t="s">
        <v>241</v>
      </c>
      <c r="C22" s="103">
        <v>0</v>
      </c>
      <c r="D22" s="99" t="str">
        <f>DEC2HEX(HEX2DEC(E21)+1, 4)</f>
        <v>03F0</v>
      </c>
      <c r="E22" s="51" t="str">
        <f>DEC2HEX(HEX2DEC(D22)+C22-1, 4)</f>
        <v>03EF</v>
      </c>
    </row>
    <row r="23" spans="2:5">
      <c r="B23" s="58" t="s">
        <v>242</v>
      </c>
      <c r="C23" s="103">
        <v>0</v>
      </c>
      <c r="D23" s="99" t="str">
        <f>DEC2HEX(HEX2DEC(E22)+1, 4)</f>
        <v>03F0</v>
      </c>
      <c r="E23" s="51" t="str">
        <f>DEC2HEX(HEX2DEC(D23)+C23-1, 4)</f>
        <v>03EF</v>
      </c>
    </row>
    <row r="24" spans="2:5">
      <c r="B24" s="58" t="s">
        <v>243</v>
      </c>
      <c r="C24" s="103">
        <v>0</v>
      </c>
      <c r="D24" s="99" t="str">
        <f>DEC2HEX(HEX2DEC(E23)+1, 4)</f>
        <v>03F0</v>
      </c>
      <c r="E24" s="51" t="str">
        <f>DEC2HEX(HEX2DEC(D24)+C24-1, 4)</f>
        <v>03EF</v>
      </c>
    </row>
    <row r="25" spans="2:5">
      <c r="B25" s="58" t="s">
        <v>244</v>
      </c>
      <c r="C25" s="103">
        <v>0</v>
      </c>
      <c r="D25" s="99" t="str">
        <f>DEC2HEX(HEX2DEC(E24)+1, 4)</f>
        <v>03F0</v>
      </c>
      <c r="E25" s="51" t="str">
        <f>DEC2HEX(HEX2DEC(D25)+C25-1, 4)</f>
        <v>03EF</v>
      </c>
    </row>
    <row r="26" spans="2:5" ht="15.75" thickBot="1">
      <c r="B26" s="58" t="s">
        <v>245</v>
      </c>
      <c r="C26" s="104">
        <v>0</v>
      </c>
      <c r="D26" s="99" t="str">
        <f>DEC2HEX(HEX2DEC(E25)+1, 4)</f>
        <v>03F0</v>
      </c>
      <c r="E26" s="51" t="str">
        <f>DEC2HEX(HEX2DEC(D26)+C26-1, 4)</f>
        <v>03EF</v>
      </c>
    </row>
    <row r="27" spans="2:5" ht="16.5" thickTop="1" thickBot="1">
      <c r="B27" s="102" t="s">
        <v>228</v>
      </c>
      <c r="C27" s="100">
        <f>C28-SUM(C9:C26)</f>
        <v>528</v>
      </c>
      <c r="D27" s="49" t="str">
        <f>DEC2HEX(HEX2DEC(E26)+1, 4)</f>
        <v>03F0</v>
      </c>
      <c r="E27" s="52" t="str">
        <f>DEC2HEX(HEX2DEC(D27)+C27-1, 4)</f>
        <v>05FF</v>
      </c>
    </row>
    <row r="28" spans="2:5" ht="16.5" thickTop="1" thickBot="1">
      <c r="B28" s="101" t="s">
        <v>223</v>
      </c>
      <c r="C28" s="105">
        <v>1536</v>
      </c>
      <c r="D28" s="53" t="str">
        <f>D9</f>
        <v>0000</v>
      </c>
      <c r="E28" s="54" t="str">
        <f>DEC2HEX(HEX2DEC(D28)+C28-1, 4)</f>
        <v>05FF</v>
      </c>
    </row>
  </sheetData>
  <phoneticPr fontId="1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orderCommandIDs">
                <anchor moveWithCells="1" sizeWithCells="1">
                  <from>
                    <xdr:col>1</xdr:col>
                    <xdr:colOff>257175</xdr:colOff>
                    <xdr:row>1</xdr:row>
                    <xdr:rowOff>38100</xdr:rowOff>
                  </from>
                  <to>
                    <xdr:col>3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AC5B0-0A8B-4889-A2A9-45BEB8F60F71}">
  <sheetPr codeName="Sheet12"/>
  <dimension ref="A1:V1000"/>
  <sheetViews>
    <sheetView zoomScale="85" zoomScaleNormal="85" workbookViewId="0"/>
  </sheetViews>
  <sheetFormatPr defaultColWidth="8.875" defaultRowHeight="14.25" outlineLevelCol="1"/>
  <cols>
    <col min="1" max="1" width="10.5" style="64" customWidth="1"/>
    <col min="2" max="2" width="50.875" style="47" bestFit="1" customWidth="1"/>
    <col min="3" max="3" width="6.875" style="47" customWidth="1"/>
    <col min="4" max="4" width="9.5" style="48" bestFit="1" customWidth="1"/>
    <col min="5" max="5" width="7.5" style="47" customWidth="1"/>
    <col min="6" max="6" width="9.5" style="48" customWidth="1" outlineLevel="1"/>
    <col min="7" max="7" width="10.75" style="47" customWidth="1" outlineLevel="1"/>
    <col min="8" max="8" width="9.5" style="47" customWidth="1" outlineLevel="1"/>
    <col min="9" max="9" width="10.75" style="47" customWidth="1" outlineLevel="1"/>
    <col min="10" max="10" width="9.5" style="47" customWidth="1" outlineLevel="1"/>
    <col min="11" max="11" width="10.75" style="47" customWidth="1" outlineLevel="1"/>
    <col min="12" max="12" width="9.5" style="47" customWidth="1" outlineLevel="1"/>
    <col min="13" max="13" width="10.75" style="47" customWidth="1" outlineLevel="1"/>
    <col min="14" max="14" width="9.5" style="47" customWidth="1" outlineLevel="1"/>
    <col min="15" max="15" width="10.75" style="47" customWidth="1" outlineLevel="1"/>
    <col min="16" max="16" width="9.5" style="47" customWidth="1" outlineLevel="1"/>
    <col min="17" max="17" width="10.75" style="47" customWidth="1" outlineLevel="1"/>
    <col min="18" max="18" width="8.5" style="47" customWidth="1" outlineLevel="1"/>
    <col min="19" max="19" width="10.5" style="47" customWidth="1" outlineLevel="1"/>
    <col min="20" max="20" width="45.875" style="98" customWidth="1"/>
    <col min="21" max="21" width="41.875" style="98" customWidth="1"/>
    <col min="22" max="22" width="8.5" style="66" customWidth="1"/>
    <col min="23" max="16384" width="8.875" style="66"/>
  </cols>
  <sheetData>
    <row r="1" spans="1:22" s="47" customFormat="1" ht="19.5" customHeight="1">
      <c r="A1" s="106" t="s">
        <v>226</v>
      </c>
      <c r="B1" s="112" t="s">
        <v>11</v>
      </c>
      <c r="C1" s="111" t="s">
        <v>180</v>
      </c>
      <c r="D1" s="115" t="s">
        <v>158</v>
      </c>
      <c r="E1" s="116" t="s">
        <v>159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1" t="s">
        <v>164</v>
      </c>
      <c r="S1" s="111" t="s">
        <v>227</v>
      </c>
      <c r="T1" s="108" t="s">
        <v>10</v>
      </c>
      <c r="U1" s="108" t="s">
        <v>160</v>
      </c>
      <c r="V1" s="71"/>
    </row>
    <row r="2" spans="1:22" s="47" customFormat="1" ht="15.75" customHeight="1">
      <c r="A2" s="80" t="s">
        <v>225</v>
      </c>
      <c r="B2" s="113"/>
      <c r="C2" s="111"/>
      <c r="D2" s="115"/>
      <c r="E2" s="109" t="s">
        <v>224</v>
      </c>
      <c r="F2" s="110" t="s">
        <v>116</v>
      </c>
      <c r="G2" s="110"/>
      <c r="H2" s="110" t="s">
        <v>117</v>
      </c>
      <c r="I2" s="110"/>
      <c r="J2" s="110" t="s">
        <v>174</v>
      </c>
      <c r="K2" s="110"/>
      <c r="L2" s="110" t="s">
        <v>175</v>
      </c>
      <c r="M2" s="110"/>
      <c r="N2" s="110" t="s">
        <v>176</v>
      </c>
      <c r="O2" s="110"/>
      <c r="P2" s="110" t="s">
        <v>177</v>
      </c>
      <c r="Q2" s="110"/>
      <c r="R2" s="111"/>
      <c r="S2" s="111"/>
      <c r="T2" s="108"/>
      <c r="U2" s="108"/>
      <c r="V2" s="71"/>
    </row>
    <row r="3" spans="1:22" s="62" customFormat="1" ht="14.25" customHeight="1">
      <c r="A3" s="107" t="s">
        <v>115</v>
      </c>
      <c r="B3" s="114"/>
      <c r="C3" s="111"/>
      <c r="D3" s="115"/>
      <c r="E3" s="109"/>
      <c r="F3" s="74" t="s">
        <v>118</v>
      </c>
      <c r="G3" s="74" t="s">
        <v>10</v>
      </c>
      <c r="H3" s="74" t="s">
        <v>118</v>
      </c>
      <c r="I3" s="74" t="s">
        <v>10</v>
      </c>
      <c r="J3" s="74" t="s">
        <v>118</v>
      </c>
      <c r="K3" s="74" t="s">
        <v>10</v>
      </c>
      <c r="L3" s="74" t="s">
        <v>118</v>
      </c>
      <c r="M3" s="74" t="s">
        <v>10</v>
      </c>
      <c r="N3" s="74" t="s">
        <v>118</v>
      </c>
      <c r="O3" s="74" t="s">
        <v>10</v>
      </c>
      <c r="P3" s="74" t="s">
        <v>118</v>
      </c>
      <c r="Q3" s="74" t="s">
        <v>10</v>
      </c>
      <c r="R3" s="111"/>
      <c r="S3" s="111"/>
      <c r="T3" s="108"/>
      <c r="U3" s="108"/>
      <c r="V3" s="72"/>
    </row>
    <row r="4" spans="1:22">
      <c r="A4" s="63"/>
      <c r="B4" s="70"/>
      <c r="C4" s="75"/>
      <c r="D4" s="75"/>
      <c r="E4" s="75"/>
      <c r="F4" s="75"/>
      <c r="G4" s="80"/>
      <c r="H4" s="75"/>
      <c r="I4" s="80"/>
      <c r="J4" s="75"/>
      <c r="K4" s="80"/>
      <c r="L4" s="75"/>
      <c r="M4" s="80"/>
      <c r="N4" s="75"/>
      <c r="O4" s="80"/>
      <c r="P4" s="75"/>
      <c r="Q4" s="80"/>
      <c r="R4" s="75"/>
      <c r="S4" s="75" t="s">
        <v>173</v>
      </c>
      <c r="T4" s="96"/>
      <c r="U4" s="97"/>
      <c r="V4" s="73"/>
    </row>
    <row r="5" spans="1:22">
      <c r="A5" s="63"/>
      <c r="B5" s="7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121"/>
      <c r="U5" s="122"/>
      <c r="V5" s="73"/>
    </row>
    <row r="6" spans="1:22">
      <c r="A6" s="63"/>
      <c r="B6" s="7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121"/>
      <c r="U6" s="122"/>
      <c r="V6" s="73"/>
    </row>
    <row r="7" spans="1:22">
      <c r="A7" s="63"/>
      <c r="B7" s="7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121"/>
      <c r="U7" s="122"/>
      <c r="V7" s="73"/>
    </row>
    <row r="8" spans="1:22">
      <c r="A8" s="63"/>
      <c r="B8" s="7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121"/>
      <c r="U8" s="122"/>
      <c r="V8" s="73"/>
    </row>
    <row r="9" spans="1:22">
      <c r="A9" s="63"/>
      <c r="B9" s="7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121"/>
      <c r="U9" s="122"/>
      <c r="V9" s="73"/>
    </row>
    <row r="10" spans="1:22">
      <c r="A10" s="63"/>
      <c r="B10" s="7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121"/>
      <c r="U10" s="122"/>
      <c r="V10" s="73"/>
    </row>
    <row r="11" spans="1:22">
      <c r="A11" s="63"/>
      <c r="B11" s="7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121"/>
      <c r="U11" s="122"/>
      <c r="V11" s="73"/>
    </row>
    <row r="12" spans="1:22">
      <c r="A12" s="63"/>
      <c r="B12" s="7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121"/>
      <c r="U12" s="122"/>
      <c r="V12" s="73"/>
    </row>
    <row r="13" spans="1:22">
      <c r="A13" s="63"/>
      <c r="B13" s="7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121"/>
      <c r="U13" s="122"/>
      <c r="V13" s="73"/>
    </row>
    <row r="14" spans="1:22">
      <c r="A14" s="63"/>
      <c r="B14" s="7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121"/>
      <c r="U14" s="122"/>
      <c r="V14" s="73"/>
    </row>
    <row r="15" spans="1:22">
      <c r="A15" s="63"/>
      <c r="B15" s="7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121"/>
      <c r="U15" s="122"/>
      <c r="V15" s="73"/>
    </row>
    <row r="16" spans="1:22">
      <c r="A16" s="63"/>
      <c r="B16" s="7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121"/>
      <c r="U16" s="122"/>
      <c r="V16" s="73"/>
    </row>
    <row r="17" spans="1:22">
      <c r="A17" s="63"/>
      <c r="B17" s="7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121"/>
      <c r="U17" s="122"/>
      <c r="V17" s="73"/>
    </row>
    <row r="18" spans="1:22">
      <c r="A18" s="63"/>
      <c r="B18" s="7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121"/>
      <c r="U18" s="122"/>
      <c r="V18" s="73"/>
    </row>
    <row r="19" spans="1:22">
      <c r="A19" s="63"/>
      <c r="B19" s="7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121"/>
      <c r="U19" s="122"/>
      <c r="V19" s="73"/>
    </row>
    <row r="20" spans="1:22">
      <c r="A20" s="63"/>
      <c r="B20" s="7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121"/>
      <c r="U20" s="122"/>
      <c r="V20" s="73"/>
    </row>
    <row r="21" spans="1:22">
      <c r="A21" s="63"/>
      <c r="B21" s="7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121"/>
      <c r="U21" s="122"/>
      <c r="V21" s="73"/>
    </row>
    <row r="22" spans="1:22">
      <c r="A22" s="63"/>
      <c r="B22" s="7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121"/>
      <c r="U22" s="122"/>
      <c r="V22" s="73"/>
    </row>
    <row r="23" spans="1:22">
      <c r="A23" s="63"/>
      <c r="B23" s="7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121"/>
      <c r="U23" s="122"/>
      <c r="V23" s="73"/>
    </row>
    <row r="24" spans="1:22">
      <c r="A24" s="63"/>
      <c r="B24" s="7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121"/>
      <c r="U24" s="122"/>
      <c r="V24" s="73"/>
    </row>
    <row r="25" spans="1:22">
      <c r="A25" s="63"/>
      <c r="B25" s="7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121"/>
      <c r="U25" s="122"/>
      <c r="V25" s="73"/>
    </row>
    <row r="26" spans="1:22">
      <c r="A26" s="63"/>
      <c r="B26" s="7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121"/>
      <c r="U26" s="122"/>
      <c r="V26" s="73"/>
    </row>
    <row r="27" spans="1:22">
      <c r="A27" s="63"/>
      <c r="B27" s="7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121"/>
      <c r="U27" s="122"/>
      <c r="V27" s="73"/>
    </row>
    <row r="28" spans="1:22">
      <c r="A28" s="63"/>
      <c r="B28" s="7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121"/>
      <c r="U28" s="122"/>
      <c r="V28" s="73"/>
    </row>
    <row r="29" spans="1:22">
      <c r="A29" s="63"/>
      <c r="B29" s="7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121"/>
      <c r="U29" s="122"/>
      <c r="V29" s="73"/>
    </row>
    <row r="30" spans="1:22">
      <c r="A30" s="63"/>
      <c r="B30" s="7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121"/>
      <c r="U30" s="122"/>
      <c r="V30" s="73"/>
    </row>
    <row r="31" spans="1:22">
      <c r="A31" s="63"/>
      <c r="B31" s="7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121"/>
      <c r="U31" s="122"/>
      <c r="V31" s="73"/>
    </row>
    <row r="32" spans="1:22">
      <c r="A32" s="63"/>
      <c r="B32" s="7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121"/>
      <c r="U32" s="122"/>
      <c r="V32" s="73"/>
    </row>
    <row r="33" spans="1:22">
      <c r="A33" s="63"/>
      <c r="B33" s="7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121"/>
      <c r="U33" s="122"/>
      <c r="V33" s="73"/>
    </row>
    <row r="34" spans="1:22">
      <c r="A34" s="63"/>
      <c r="B34" s="7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121"/>
      <c r="U34" s="122"/>
      <c r="V34" s="73"/>
    </row>
    <row r="35" spans="1:22">
      <c r="A35" s="63"/>
      <c r="B35" s="7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121"/>
      <c r="U35" s="122"/>
      <c r="V35" s="73"/>
    </row>
    <row r="36" spans="1:22">
      <c r="A36" s="63"/>
      <c r="B36" s="7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121"/>
      <c r="U36" s="122"/>
      <c r="V36" s="73"/>
    </row>
    <row r="37" spans="1:22">
      <c r="A37" s="63"/>
      <c r="B37" s="7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121"/>
      <c r="U37" s="122"/>
      <c r="V37" s="73"/>
    </row>
    <row r="38" spans="1:22">
      <c r="A38" s="63"/>
      <c r="B38" s="7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121"/>
      <c r="U38" s="122"/>
      <c r="V38" s="73"/>
    </row>
    <row r="39" spans="1:22">
      <c r="A39" s="63"/>
      <c r="B39" s="7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121"/>
      <c r="U39" s="122"/>
      <c r="V39" s="73"/>
    </row>
    <row r="40" spans="1:22">
      <c r="A40" s="63"/>
      <c r="B40" s="7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121"/>
      <c r="U40" s="122"/>
      <c r="V40" s="73"/>
    </row>
    <row r="41" spans="1:22">
      <c r="A41" s="63"/>
      <c r="B41" s="7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121"/>
      <c r="U41" s="122"/>
      <c r="V41" s="73"/>
    </row>
    <row r="42" spans="1:22">
      <c r="A42" s="63"/>
      <c r="B42" s="7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121"/>
      <c r="U42" s="122"/>
      <c r="V42" s="73"/>
    </row>
    <row r="43" spans="1:22">
      <c r="A43" s="63"/>
      <c r="B43" s="7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121"/>
      <c r="U43" s="122"/>
      <c r="V43" s="73"/>
    </row>
    <row r="44" spans="1:22">
      <c r="A44" s="63"/>
      <c r="B44" s="7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121"/>
      <c r="U44" s="122"/>
      <c r="V44" s="73"/>
    </row>
    <row r="45" spans="1:22">
      <c r="A45" s="63"/>
      <c r="B45" s="7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121"/>
      <c r="U45" s="122"/>
      <c r="V45" s="73"/>
    </row>
    <row r="46" spans="1:22">
      <c r="A46" s="63"/>
      <c r="B46" s="7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121"/>
      <c r="U46" s="122"/>
      <c r="V46" s="73"/>
    </row>
    <row r="47" spans="1:22">
      <c r="A47" s="63"/>
      <c r="B47" s="7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121"/>
      <c r="U47" s="122"/>
      <c r="V47" s="73"/>
    </row>
    <row r="48" spans="1:22">
      <c r="A48" s="63"/>
      <c r="B48" s="7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121"/>
      <c r="U48" s="122"/>
      <c r="V48" s="73"/>
    </row>
    <row r="49" spans="1:22">
      <c r="A49" s="63"/>
      <c r="B49" s="7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121"/>
      <c r="U49" s="122"/>
      <c r="V49" s="73"/>
    </row>
    <row r="50" spans="1:22">
      <c r="A50" s="63"/>
      <c r="B50" s="7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121"/>
      <c r="U50" s="122"/>
      <c r="V50" s="73"/>
    </row>
    <row r="51" spans="1:22">
      <c r="A51" s="63"/>
      <c r="B51" s="7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121"/>
      <c r="U51" s="122"/>
      <c r="V51" s="73"/>
    </row>
    <row r="52" spans="1:22">
      <c r="A52" s="63"/>
      <c r="B52" s="7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121"/>
      <c r="U52" s="122"/>
      <c r="V52" s="73"/>
    </row>
    <row r="53" spans="1:22">
      <c r="A53" s="63"/>
      <c r="B53" s="7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121"/>
      <c r="U53" s="122"/>
      <c r="V53" s="73"/>
    </row>
    <row r="54" spans="1:22">
      <c r="A54" s="63"/>
      <c r="B54" s="7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121"/>
      <c r="U54" s="122"/>
      <c r="V54" s="73"/>
    </row>
    <row r="55" spans="1:22">
      <c r="A55" s="63"/>
      <c r="B55" s="7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121"/>
      <c r="U55" s="122"/>
      <c r="V55" s="73"/>
    </row>
    <row r="56" spans="1:22">
      <c r="A56" s="63"/>
      <c r="B56" s="7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121"/>
      <c r="U56" s="122"/>
      <c r="V56" s="73"/>
    </row>
    <row r="57" spans="1:22">
      <c r="A57" s="63"/>
      <c r="B57" s="7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121"/>
      <c r="U57" s="122"/>
      <c r="V57" s="73"/>
    </row>
    <row r="58" spans="1:22">
      <c r="A58" s="63"/>
      <c r="B58" s="7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121"/>
      <c r="U58" s="122"/>
      <c r="V58" s="73"/>
    </row>
    <row r="59" spans="1:22">
      <c r="A59" s="63"/>
      <c r="B59" s="7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121"/>
      <c r="U59" s="122"/>
      <c r="V59" s="73"/>
    </row>
    <row r="60" spans="1:22">
      <c r="A60" s="63"/>
      <c r="B60" s="7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121"/>
      <c r="U60" s="122"/>
      <c r="V60" s="73"/>
    </row>
    <row r="61" spans="1:22">
      <c r="A61" s="63"/>
      <c r="B61" s="7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121"/>
      <c r="U61" s="122"/>
      <c r="V61" s="73"/>
    </row>
    <row r="62" spans="1:22">
      <c r="A62" s="63"/>
      <c r="B62" s="7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121"/>
      <c r="U62" s="122"/>
      <c r="V62" s="73"/>
    </row>
    <row r="63" spans="1:22">
      <c r="A63" s="63"/>
      <c r="B63" s="7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80"/>
      <c r="R63" s="80"/>
      <c r="S63" s="80"/>
      <c r="T63" s="121"/>
      <c r="U63" s="122"/>
      <c r="V63" s="73"/>
    </row>
    <row r="64" spans="1:22">
      <c r="A64" s="63"/>
      <c r="B64" s="7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121"/>
      <c r="U64" s="122"/>
      <c r="V64" s="73"/>
    </row>
    <row r="65" spans="1:22">
      <c r="A65" s="63"/>
      <c r="B65" s="7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80"/>
      <c r="S65" s="80"/>
      <c r="T65" s="121"/>
      <c r="U65" s="122"/>
      <c r="V65" s="73"/>
    </row>
    <row r="66" spans="1:22">
      <c r="A66" s="63"/>
      <c r="B66" s="7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121"/>
      <c r="U66" s="122"/>
      <c r="V66" s="73"/>
    </row>
    <row r="67" spans="1:22">
      <c r="A67" s="63"/>
      <c r="B67" s="7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121"/>
      <c r="U67" s="122"/>
      <c r="V67" s="73"/>
    </row>
    <row r="68" spans="1:22">
      <c r="A68" s="63"/>
      <c r="B68" s="7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121"/>
      <c r="U68" s="122"/>
      <c r="V68" s="73"/>
    </row>
    <row r="69" spans="1:22">
      <c r="A69" s="63"/>
      <c r="B69" s="7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121"/>
      <c r="U69" s="122"/>
      <c r="V69" s="73"/>
    </row>
    <row r="70" spans="1:22">
      <c r="A70" s="63"/>
      <c r="B70" s="7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121"/>
      <c r="U70" s="122"/>
      <c r="V70" s="73"/>
    </row>
    <row r="71" spans="1:22">
      <c r="A71" s="63"/>
      <c r="B71" s="7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80"/>
      <c r="S71" s="80"/>
      <c r="T71" s="121"/>
      <c r="U71" s="122"/>
      <c r="V71" s="73"/>
    </row>
    <row r="72" spans="1:22">
      <c r="A72" s="63"/>
      <c r="B72" s="7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0"/>
      <c r="R72" s="80"/>
      <c r="S72" s="80"/>
      <c r="T72" s="121"/>
      <c r="U72" s="122"/>
      <c r="V72" s="73"/>
    </row>
    <row r="73" spans="1:22">
      <c r="A73" s="63"/>
      <c r="B73" s="7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121"/>
      <c r="U73" s="122"/>
      <c r="V73" s="73"/>
    </row>
    <row r="74" spans="1:22">
      <c r="A74" s="63"/>
      <c r="B74" s="7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121"/>
      <c r="U74" s="122"/>
      <c r="V74" s="73"/>
    </row>
    <row r="75" spans="1:22">
      <c r="A75" s="63"/>
      <c r="B75" s="7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121"/>
      <c r="U75" s="122"/>
      <c r="V75" s="73"/>
    </row>
    <row r="76" spans="1:22">
      <c r="A76" s="63"/>
      <c r="B76" s="7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121"/>
      <c r="U76" s="122"/>
      <c r="V76" s="73"/>
    </row>
    <row r="77" spans="1:22">
      <c r="A77" s="63"/>
      <c r="B77" s="7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80"/>
      <c r="R77" s="80"/>
      <c r="S77" s="80"/>
      <c r="T77" s="121"/>
      <c r="U77" s="122"/>
      <c r="V77" s="73"/>
    </row>
    <row r="78" spans="1:22">
      <c r="A78" s="63"/>
      <c r="B78" s="7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121"/>
      <c r="U78" s="122"/>
      <c r="V78" s="73"/>
    </row>
    <row r="79" spans="1:22">
      <c r="A79" s="63"/>
      <c r="B79" s="7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121"/>
      <c r="U79" s="122"/>
      <c r="V79" s="73"/>
    </row>
    <row r="80" spans="1:22">
      <c r="A80" s="63"/>
      <c r="B80" s="7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121"/>
      <c r="U80" s="122"/>
      <c r="V80" s="73"/>
    </row>
    <row r="81" spans="1:22">
      <c r="A81" s="63"/>
      <c r="B81" s="7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0"/>
      <c r="T81" s="121"/>
      <c r="U81" s="122"/>
      <c r="V81" s="73"/>
    </row>
    <row r="82" spans="1:22">
      <c r="A82" s="63"/>
      <c r="B82" s="7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121"/>
      <c r="U82" s="122"/>
      <c r="V82" s="73"/>
    </row>
    <row r="83" spans="1:22">
      <c r="A83" s="63"/>
      <c r="B83" s="7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121"/>
      <c r="U83" s="122"/>
      <c r="V83" s="73"/>
    </row>
    <row r="84" spans="1:22">
      <c r="A84" s="63"/>
      <c r="B84" s="7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121"/>
      <c r="U84" s="122"/>
      <c r="V84" s="73"/>
    </row>
    <row r="85" spans="1:22">
      <c r="A85" s="63"/>
      <c r="B85" s="7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121"/>
      <c r="U85" s="122"/>
      <c r="V85" s="73"/>
    </row>
    <row r="86" spans="1:22">
      <c r="A86" s="63"/>
      <c r="B86" s="70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0"/>
      <c r="R86" s="80"/>
      <c r="S86" s="80"/>
      <c r="T86" s="121"/>
      <c r="U86" s="122"/>
      <c r="V86" s="73"/>
    </row>
    <row r="87" spans="1:22">
      <c r="A87" s="63"/>
      <c r="B87" s="70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0"/>
      <c r="S87" s="80"/>
      <c r="T87" s="121"/>
      <c r="U87" s="122"/>
      <c r="V87" s="73"/>
    </row>
    <row r="88" spans="1:22">
      <c r="A88" s="63"/>
      <c r="B88" s="70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80"/>
      <c r="T88" s="121"/>
      <c r="U88" s="122"/>
      <c r="V88" s="73"/>
    </row>
    <row r="89" spans="1:22">
      <c r="A89" s="63"/>
      <c r="B89" s="70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80"/>
      <c r="R89" s="80"/>
      <c r="S89" s="80"/>
      <c r="T89" s="121"/>
      <c r="U89" s="122"/>
      <c r="V89" s="73"/>
    </row>
    <row r="90" spans="1:22">
      <c r="A90" s="63"/>
      <c r="B90" s="70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121"/>
      <c r="U90" s="122"/>
      <c r="V90" s="73"/>
    </row>
    <row r="91" spans="1:22">
      <c r="A91" s="63"/>
      <c r="B91" s="70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0"/>
      <c r="R91" s="80"/>
      <c r="S91" s="80"/>
      <c r="T91" s="121"/>
      <c r="U91" s="122"/>
      <c r="V91" s="73"/>
    </row>
    <row r="92" spans="1:22">
      <c r="A92" s="63"/>
      <c r="B92" s="70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80"/>
      <c r="T92" s="121"/>
      <c r="U92" s="122"/>
      <c r="V92" s="73"/>
    </row>
    <row r="93" spans="1:22">
      <c r="A93" s="63"/>
      <c r="B93" s="70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80"/>
      <c r="T93" s="121"/>
      <c r="U93" s="122"/>
      <c r="V93" s="73"/>
    </row>
    <row r="94" spans="1:22">
      <c r="A94" s="63"/>
      <c r="B94" s="7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80"/>
      <c r="S94" s="80"/>
      <c r="T94" s="121"/>
      <c r="U94" s="122"/>
      <c r="V94" s="73"/>
    </row>
    <row r="95" spans="1:22">
      <c r="A95" s="63"/>
      <c r="B95" s="70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121"/>
      <c r="U95" s="122"/>
      <c r="V95" s="73"/>
    </row>
    <row r="96" spans="1:22">
      <c r="A96" s="63"/>
      <c r="B96" s="70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121"/>
      <c r="U96" s="122"/>
      <c r="V96" s="73"/>
    </row>
    <row r="97" spans="1:22">
      <c r="A97" s="63"/>
      <c r="B97" s="70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121"/>
      <c r="U97" s="122"/>
      <c r="V97" s="73"/>
    </row>
    <row r="98" spans="1:22">
      <c r="A98" s="63"/>
      <c r="B98" s="70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121"/>
      <c r="U98" s="122"/>
      <c r="V98" s="73"/>
    </row>
    <row r="99" spans="1:22">
      <c r="A99" s="63"/>
      <c r="B99" s="70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121"/>
      <c r="U99" s="122"/>
      <c r="V99" s="73"/>
    </row>
    <row r="100" spans="1:22">
      <c r="A100" s="63"/>
      <c r="B100" s="7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121"/>
      <c r="U100" s="122"/>
      <c r="V100" s="73"/>
    </row>
    <row r="101" spans="1:22">
      <c r="A101" s="63"/>
      <c r="B101" s="7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121"/>
      <c r="U101" s="122"/>
      <c r="V101" s="73"/>
    </row>
    <row r="102" spans="1:22">
      <c r="A102" s="63"/>
      <c r="B102" s="70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121"/>
      <c r="U102" s="122"/>
      <c r="V102" s="73"/>
    </row>
    <row r="103" spans="1:22">
      <c r="A103" s="63"/>
      <c r="B103" s="70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121"/>
      <c r="U103" s="122"/>
      <c r="V103" s="73"/>
    </row>
    <row r="104" spans="1:22">
      <c r="A104" s="63"/>
      <c r="B104" s="70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121"/>
      <c r="U104" s="122"/>
      <c r="V104" s="73"/>
    </row>
    <row r="105" spans="1:22">
      <c r="A105" s="63"/>
      <c r="B105" s="70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121"/>
      <c r="U105" s="122"/>
      <c r="V105" s="73"/>
    </row>
    <row r="106" spans="1:22">
      <c r="A106" s="63"/>
      <c r="B106" s="70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121"/>
      <c r="U106" s="122"/>
      <c r="V106" s="73"/>
    </row>
    <row r="107" spans="1:22">
      <c r="A107" s="63"/>
      <c r="B107" s="70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121"/>
      <c r="U107" s="122"/>
      <c r="V107" s="73"/>
    </row>
    <row r="108" spans="1:22">
      <c r="A108" s="63"/>
      <c r="B108" s="70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121"/>
      <c r="U108" s="122"/>
      <c r="V108" s="73"/>
    </row>
    <row r="109" spans="1:22">
      <c r="A109" s="63"/>
      <c r="B109" s="70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0"/>
      <c r="P109" s="80"/>
      <c r="Q109" s="80"/>
      <c r="R109" s="80"/>
      <c r="S109" s="80"/>
      <c r="T109" s="121"/>
      <c r="U109" s="122"/>
      <c r="V109" s="73"/>
    </row>
    <row r="110" spans="1:22">
      <c r="A110" s="63"/>
      <c r="B110" s="7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80"/>
      <c r="S110" s="80"/>
      <c r="T110" s="121"/>
      <c r="U110" s="122"/>
      <c r="V110" s="73"/>
    </row>
    <row r="111" spans="1:22">
      <c r="A111" s="63"/>
      <c r="B111" s="70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0"/>
      <c r="S111" s="80"/>
      <c r="T111" s="121"/>
      <c r="U111" s="122"/>
      <c r="V111" s="73"/>
    </row>
    <row r="112" spans="1:22">
      <c r="A112" s="63"/>
      <c r="B112" s="70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80"/>
      <c r="T112" s="121"/>
      <c r="U112" s="122"/>
      <c r="V112" s="73"/>
    </row>
    <row r="113" spans="1:22">
      <c r="A113" s="63"/>
      <c r="B113" s="70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0"/>
      <c r="S113" s="80"/>
      <c r="T113" s="121"/>
      <c r="U113" s="122"/>
      <c r="V113" s="73"/>
    </row>
    <row r="114" spans="1:22">
      <c r="A114" s="63"/>
      <c r="B114" s="7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  <c r="S114" s="80"/>
      <c r="T114" s="121"/>
      <c r="U114" s="122"/>
      <c r="V114" s="73"/>
    </row>
    <row r="115" spans="1:22">
      <c r="A115" s="63"/>
      <c r="B115" s="70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0"/>
      <c r="P115" s="80"/>
      <c r="Q115" s="80"/>
      <c r="R115" s="80"/>
      <c r="S115" s="80"/>
      <c r="T115" s="121"/>
      <c r="U115" s="122"/>
      <c r="V115" s="73"/>
    </row>
    <row r="116" spans="1:22">
      <c r="A116" s="63"/>
      <c r="B116" s="70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0"/>
      <c r="N116" s="80"/>
      <c r="O116" s="80"/>
      <c r="P116" s="80"/>
      <c r="Q116" s="80"/>
      <c r="R116" s="80"/>
      <c r="S116" s="80"/>
      <c r="T116" s="121"/>
      <c r="U116" s="122"/>
      <c r="V116" s="73"/>
    </row>
    <row r="117" spans="1:22">
      <c r="A117" s="63"/>
      <c r="B117" s="70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121"/>
      <c r="U117" s="122"/>
      <c r="V117" s="73"/>
    </row>
    <row r="118" spans="1:22">
      <c r="A118" s="63"/>
      <c r="B118" s="70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121"/>
      <c r="U118" s="122"/>
      <c r="V118" s="73"/>
    </row>
    <row r="119" spans="1:22">
      <c r="A119" s="63"/>
      <c r="B119" s="70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121"/>
      <c r="U119" s="122"/>
      <c r="V119" s="73"/>
    </row>
    <row r="120" spans="1:22">
      <c r="A120" s="63"/>
      <c r="B120" s="70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121"/>
      <c r="U120" s="122"/>
      <c r="V120" s="73"/>
    </row>
    <row r="121" spans="1:22">
      <c r="A121" s="63"/>
      <c r="B121" s="70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121"/>
      <c r="U121" s="122"/>
      <c r="V121" s="73"/>
    </row>
    <row r="122" spans="1:22">
      <c r="A122" s="63"/>
      <c r="B122" s="70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121"/>
      <c r="U122" s="122"/>
      <c r="V122" s="73"/>
    </row>
    <row r="123" spans="1:22">
      <c r="A123" s="63"/>
      <c r="B123" s="70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80"/>
      <c r="R123" s="80"/>
      <c r="S123" s="80"/>
      <c r="T123" s="121"/>
      <c r="U123" s="122"/>
      <c r="V123" s="73"/>
    </row>
    <row r="124" spans="1:22">
      <c r="A124" s="63"/>
      <c r="B124" s="70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121"/>
      <c r="U124" s="122"/>
      <c r="V124" s="73"/>
    </row>
    <row r="125" spans="1:22">
      <c r="A125" s="63"/>
      <c r="B125" s="70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0"/>
      <c r="P125" s="80"/>
      <c r="Q125" s="80"/>
      <c r="R125" s="80"/>
      <c r="S125" s="80"/>
      <c r="T125" s="121"/>
      <c r="U125" s="122"/>
      <c r="V125" s="73"/>
    </row>
    <row r="126" spans="1:22">
      <c r="A126" s="63"/>
      <c r="B126" s="70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0"/>
      <c r="N126" s="80"/>
      <c r="O126" s="80"/>
      <c r="P126" s="80"/>
      <c r="Q126" s="80"/>
      <c r="R126" s="80"/>
      <c r="S126" s="80"/>
      <c r="T126" s="121"/>
      <c r="U126" s="122"/>
      <c r="V126" s="73"/>
    </row>
    <row r="127" spans="1:22">
      <c r="A127" s="63"/>
      <c r="B127" s="70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0"/>
      <c r="S127" s="80"/>
      <c r="T127" s="121"/>
      <c r="U127" s="122"/>
      <c r="V127" s="73"/>
    </row>
    <row r="128" spans="1:22">
      <c r="A128" s="63"/>
      <c r="B128" s="70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0"/>
      <c r="N128" s="80"/>
      <c r="O128" s="80"/>
      <c r="P128" s="80"/>
      <c r="Q128" s="80"/>
      <c r="R128" s="80"/>
      <c r="S128" s="80"/>
      <c r="T128" s="121"/>
      <c r="U128" s="122"/>
      <c r="V128" s="73"/>
    </row>
    <row r="129" spans="1:22">
      <c r="A129" s="63"/>
      <c r="B129" s="70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0"/>
      <c r="N129" s="80"/>
      <c r="O129" s="80"/>
      <c r="P129" s="80"/>
      <c r="Q129" s="80"/>
      <c r="R129" s="80"/>
      <c r="S129" s="80"/>
      <c r="T129" s="121"/>
      <c r="U129" s="122"/>
      <c r="V129" s="73"/>
    </row>
    <row r="130" spans="1:22">
      <c r="A130" s="63"/>
      <c r="B130" s="70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0"/>
      <c r="N130" s="80"/>
      <c r="O130" s="80"/>
      <c r="P130" s="80"/>
      <c r="Q130" s="80"/>
      <c r="R130" s="80"/>
      <c r="S130" s="80"/>
      <c r="T130" s="121"/>
      <c r="U130" s="122"/>
      <c r="V130" s="73"/>
    </row>
    <row r="131" spans="1:22">
      <c r="A131" s="63"/>
      <c r="B131" s="70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121"/>
      <c r="U131" s="122"/>
      <c r="V131" s="73"/>
    </row>
    <row r="132" spans="1:22">
      <c r="A132" s="63"/>
      <c r="B132" s="70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121"/>
      <c r="U132" s="122"/>
      <c r="V132" s="73"/>
    </row>
    <row r="133" spans="1:22">
      <c r="A133" s="63"/>
      <c r="B133" s="70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121"/>
      <c r="U133" s="122"/>
      <c r="V133" s="73"/>
    </row>
    <row r="134" spans="1:22">
      <c r="A134" s="63"/>
      <c r="B134" s="70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121"/>
      <c r="U134" s="122"/>
      <c r="V134" s="73"/>
    </row>
    <row r="135" spans="1:22">
      <c r="A135" s="63"/>
      <c r="B135" s="70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121"/>
      <c r="U135" s="122"/>
      <c r="V135" s="73"/>
    </row>
    <row r="136" spans="1:22">
      <c r="A136" s="63"/>
      <c r="B136" s="70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121"/>
      <c r="U136" s="122"/>
      <c r="V136" s="73"/>
    </row>
    <row r="137" spans="1:22">
      <c r="A137" s="63"/>
      <c r="B137" s="70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121"/>
      <c r="U137" s="122"/>
      <c r="V137" s="73"/>
    </row>
    <row r="138" spans="1:22">
      <c r="A138" s="63"/>
      <c r="B138" s="70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121"/>
      <c r="U138" s="122"/>
      <c r="V138" s="73"/>
    </row>
    <row r="139" spans="1:22">
      <c r="A139" s="63"/>
      <c r="B139" s="70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80"/>
      <c r="R139" s="80"/>
      <c r="S139" s="80"/>
      <c r="T139" s="121"/>
      <c r="U139" s="122"/>
      <c r="V139" s="73"/>
    </row>
    <row r="140" spans="1:22">
      <c r="A140" s="63"/>
      <c r="B140" s="70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121"/>
      <c r="U140" s="122"/>
      <c r="V140" s="73"/>
    </row>
    <row r="141" spans="1:22">
      <c r="A141" s="63"/>
      <c r="B141" s="70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121"/>
      <c r="U141" s="122"/>
      <c r="V141" s="73"/>
    </row>
    <row r="142" spans="1:22">
      <c r="A142" s="63"/>
      <c r="B142" s="70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121"/>
      <c r="U142" s="122"/>
      <c r="V142" s="73"/>
    </row>
    <row r="143" spans="1:22">
      <c r="A143" s="63"/>
      <c r="B143" s="70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121"/>
      <c r="U143" s="122"/>
      <c r="V143" s="73"/>
    </row>
    <row r="144" spans="1:22">
      <c r="A144" s="63"/>
      <c r="B144" s="70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121"/>
      <c r="U144" s="122"/>
      <c r="V144" s="73"/>
    </row>
    <row r="145" spans="1:22">
      <c r="A145" s="63"/>
      <c r="B145" s="70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121"/>
      <c r="U145" s="122"/>
      <c r="V145" s="73"/>
    </row>
    <row r="146" spans="1:22">
      <c r="A146" s="63"/>
      <c r="B146" s="70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121"/>
      <c r="U146" s="122"/>
      <c r="V146" s="73"/>
    </row>
    <row r="147" spans="1:22">
      <c r="A147" s="63"/>
      <c r="B147" s="70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121"/>
      <c r="U147" s="122"/>
      <c r="V147" s="73"/>
    </row>
    <row r="148" spans="1:22">
      <c r="A148" s="63"/>
      <c r="B148" s="70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121"/>
      <c r="U148" s="122"/>
      <c r="V148" s="73"/>
    </row>
    <row r="149" spans="1:22">
      <c r="A149" s="63"/>
      <c r="B149" s="70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121"/>
      <c r="U149" s="122"/>
      <c r="V149" s="73"/>
    </row>
    <row r="150" spans="1:22">
      <c r="A150" s="63"/>
      <c r="B150" s="70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121"/>
      <c r="U150" s="122"/>
      <c r="V150" s="73"/>
    </row>
    <row r="151" spans="1:22">
      <c r="A151" s="63"/>
      <c r="B151" s="70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121"/>
      <c r="U151" s="122"/>
      <c r="V151" s="73"/>
    </row>
    <row r="152" spans="1:22">
      <c r="A152" s="63"/>
      <c r="B152" s="7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121"/>
      <c r="U152" s="122"/>
      <c r="V152" s="73"/>
    </row>
    <row r="153" spans="1:22">
      <c r="A153" s="63"/>
      <c r="B153" s="7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121"/>
      <c r="U153" s="122"/>
      <c r="V153" s="73"/>
    </row>
    <row r="154" spans="1:22">
      <c r="A154" s="63"/>
      <c r="B154" s="7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121"/>
      <c r="U154" s="122"/>
      <c r="V154" s="73"/>
    </row>
    <row r="155" spans="1:22">
      <c r="A155" s="63"/>
      <c r="B155" s="7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121"/>
      <c r="U155" s="122"/>
      <c r="V155" s="73"/>
    </row>
    <row r="156" spans="1:22">
      <c r="A156" s="63"/>
      <c r="B156" s="7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121"/>
      <c r="U156" s="122"/>
      <c r="V156" s="73"/>
    </row>
    <row r="157" spans="1:22">
      <c r="A157" s="63"/>
      <c r="B157" s="7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121"/>
      <c r="U157" s="122"/>
      <c r="V157" s="73"/>
    </row>
    <row r="158" spans="1:22">
      <c r="A158" s="63"/>
      <c r="B158" s="70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0"/>
      <c r="N158" s="80"/>
      <c r="O158" s="80"/>
      <c r="P158" s="80"/>
      <c r="Q158" s="80"/>
      <c r="R158" s="80"/>
      <c r="S158" s="80"/>
      <c r="T158" s="121"/>
      <c r="U158" s="122"/>
      <c r="V158" s="73"/>
    </row>
    <row r="159" spans="1:22">
      <c r="A159" s="63"/>
      <c r="B159" s="70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0"/>
      <c r="N159" s="80"/>
      <c r="O159" s="80"/>
      <c r="P159" s="80"/>
      <c r="Q159" s="80"/>
      <c r="R159" s="80"/>
      <c r="S159" s="80"/>
      <c r="T159" s="121"/>
      <c r="U159" s="122"/>
      <c r="V159" s="73"/>
    </row>
    <row r="160" spans="1:22">
      <c r="A160" s="63"/>
      <c r="B160" s="70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0"/>
      <c r="N160" s="80"/>
      <c r="O160" s="80"/>
      <c r="P160" s="80"/>
      <c r="Q160" s="80"/>
      <c r="R160" s="80"/>
      <c r="S160" s="80"/>
      <c r="T160" s="121"/>
      <c r="U160" s="122"/>
      <c r="V160" s="73"/>
    </row>
    <row r="161" spans="1:22">
      <c r="A161" s="63"/>
      <c r="B161" s="70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0"/>
      <c r="N161" s="80"/>
      <c r="O161" s="80"/>
      <c r="P161" s="80"/>
      <c r="Q161" s="80"/>
      <c r="R161" s="80"/>
      <c r="S161" s="80"/>
      <c r="T161" s="121"/>
      <c r="U161" s="122"/>
      <c r="V161" s="73"/>
    </row>
    <row r="162" spans="1:22">
      <c r="A162" s="63"/>
      <c r="B162" s="70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0"/>
      <c r="N162" s="80"/>
      <c r="O162" s="80"/>
      <c r="P162" s="80"/>
      <c r="Q162" s="80"/>
      <c r="R162" s="80"/>
      <c r="S162" s="80"/>
      <c r="T162" s="121"/>
      <c r="U162" s="122"/>
      <c r="V162" s="73"/>
    </row>
    <row r="163" spans="1:22">
      <c r="A163" s="63"/>
      <c r="B163" s="70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121"/>
      <c r="U163" s="122"/>
      <c r="V163" s="73"/>
    </row>
    <row r="164" spans="1:22">
      <c r="A164" s="63"/>
      <c r="B164" s="70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0"/>
      <c r="Q164" s="80"/>
      <c r="R164" s="80"/>
      <c r="S164" s="80"/>
      <c r="T164" s="121"/>
      <c r="U164" s="122"/>
      <c r="V164" s="73"/>
    </row>
    <row r="165" spans="1:22">
      <c r="A165" s="63"/>
      <c r="B165" s="70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0"/>
      <c r="N165" s="80"/>
      <c r="O165" s="80"/>
      <c r="P165" s="80"/>
      <c r="Q165" s="80"/>
      <c r="R165" s="80"/>
      <c r="S165" s="80"/>
      <c r="T165" s="121"/>
      <c r="U165" s="122"/>
      <c r="V165" s="73"/>
    </row>
    <row r="166" spans="1:22">
      <c r="A166" s="63"/>
      <c r="B166" s="70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0"/>
      <c r="Q166" s="80"/>
      <c r="R166" s="80"/>
      <c r="S166" s="80"/>
      <c r="T166" s="121"/>
      <c r="U166" s="122"/>
      <c r="V166" s="73"/>
    </row>
    <row r="167" spans="1:22">
      <c r="A167" s="63"/>
      <c r="B167" s="70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0"/>
      <c r="S167" s="80"/>
      <c r="T167" s="121"/>
      <c r="U167" s="122"/>
      <c r="V167" s="73"/>
    </row>
    <row r="168" spans="1:22">
      <c r="A168" s="63"/>
      <c r="B168" s="70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121"/>
      <c r="U168" s="122"/>
      <c r="V168" s="73"/>
    </row>
    <row r="169" spans="1:22">
      <c r="A169" s="63"/>
      <c r="B169" s="70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0"/>
      <c r="N169" s="80"/>
      <c r="O169" s="80"/>
      <c r="P169" s="80"/>
      <c r="Q169" s="80"/>
      <c r="R169" s="80"/>
      <c r="S169" s="80"/>
      <c r="T169" s="121"/>
      <c r="U169" s="122"/>
      <c r="V169" s="73"/>
    </row>
    <row r="170" spans="1:22">
      <c r="A170" s="63"/>
      <c r="B170" s="70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0"/>
      <c r="N170" s="80"/>
      <c r="O170" s="80"/>
      <c r="P170" s="80"/>
      <c r="Q170" s="80"/>
      <c r="R170" s="80"/>
      <c r="S170" s="80"/>
      <c r="T170" s="121"/>
      <c r="U170" s="122"/>
      <c r="V170" s="73"/>
    </row>
    <row r="171" spans="1:22">
      <c r="A171" s="63"/>
      <c r="B171" s="70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0"/>
      <c r="N171" s="80"/>
      <c r="O171" s="80"/>
      <c r="P171" s="80"/>
      <c r="Q171" s="80"/>
      <c r="R171" s="80"/>
      <c r="S171" s="80"/>
      <c r="T171" s="121"/>
      <c r="U171" s="122"/>
      <c r="V171" s="73"/>
    </row>
    <row r="172" spans="1:22">
      <c r="A172" s="63"/>
      <c r="B172" s="70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0"/>
      <c r="N172" s="80"/>
      <c r="O172" s="80"/>
      <c r="P172" s="80"/>
      <c r="Q172" s="80"/>
      <c r="R172" s="80"/>
      <c r="S172" s="80"/>
      <c r="T172" s="121"/>
      <c r="U172" s="122"/>
      <c r="V172" s="73"/>
    </row>
    <row r="173" spans="1:22">
      <c r="A173" s="63"/>
      <c r="B173" s="70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0"/>
      <c r="N173" s="80"/>
      <c r="O173" s="80"/>
      <c r="P173" s="80"/>
      <c r="Q173" s="80"/>
      <c r="R173" s="80"/>
      <c r="S173" s="80"/>
      <c r="T173" s="121"/>
      <c r="U173" s="122"/>
      <c r="V173" s="73"/>
    </row>
    <row r="174" spans="1:22">
      <c r="A174" s="63"/>
      <c r="B174" s="70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0"/>
      <c r="N174" s="80"/>
      <c r="O174" s="80"/>
      <c r="P174" s="80"/>
      <c r="Q174" s="80"/>
      <c r="R174" s="80"/>
      <c r="S174" s="80"/>
      <c r="T174" s="121"/>
      <c r="U174" s="122"/>
      <c r="V174" s="73"/>
    </row>
    <row r="175" spans="1:22">
      <c r="A175" s="63"/>
      <c r="B175" s="70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0"/>
      <c r="N175" s="80"/>
      <c r="O175" s="80"/>
      <c r="P175" s="80"/>
      <c r="Q175" s="80"/>
      <c r="R175" s="80"/>
      <c r="S175" s="80"/>
      <c r="T175" s="121"/>
      <c r="U175" s="122"/>
      <c r="V175" s="73"/>
    </row>
    <row r="176" spans="1:22">
      <c r="A176" s="63"/>
      <c r="B176" s="70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121"/>
      <c r="U176" s="122"/>
      <c r="V176" s="73"/>
    </row>
    <row r="177" spans="1:22">
      <c r="A177" s="63"/>
      <c r="B177" s="70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80"/>
      <c r="R177" s="80"/>
      <c r="S177" s="80"/>
      <c r="T177" s="121"/>
      <c r="U177" s="122"/>
      <c r="V177" s="73"/>
    </row>
    <row r="178" spans="1:22">
      <c r="A178" s="63"/>
      <c r="B178" s="70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  <c r="R178" s="80"/>
      <c r="S178" s="80"/>
      <c r="T178" s="121"/>
      <c r="U178" s="122"/>
      <c r="V178" s="73"/>
    </row>
    <row r="179" spans="1:22">
      <c r="A179" s="63"/>
      <c r="B179" s="70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121"/>
      <c r="U179" s="122"/>
      <c r="V179" s="73"/>
    </row>
    <row r="180" spans="1:22">
      <c r="A180" s="63"/>
      <c r="B180" s="70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80"/>
      <c r="T180" s="121"/>
      <c r="U180" s="122"/>
      <c r="V180" s="73"/>
    </row>
    <row r="181" spans="1:22">
      <c r="A181" s="63"/>
      <c r="B181" s="70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80"/>
      <c r="R181" s="80"/>
      <c r="S181" s="80"/>
      <c r="T181" s="121"/>
      <c r="U181" s="122"/>
      <c r="V181" s="73"/>
    </row>
    <row r="182" spans="1:22">
      <c r="A182" s="63"/>
      <c r="B182" s="70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121"/>
      <c r="U182" s="122"/>
      <c r="V182" s="73"/>
    </row>
    <row r="183" spans="1:22">
      <c r="A183" s="63"/>
      <c r="B183" s="70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80"/>
      <c r="R183" s="80"/>
      <c r="S183" s="80"/>
      <c r="T183" s="121"/>
      <c r="U183" s="122"/>
      <c r="V183" s="73"/>
    </row>
    <row r="184" spans="1:22">
      <c r="A184" s="63"/>
      <c r="B184" s="70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121"/>
      <c r="U184" s="122"/>
      <c r="V184" s="73"/>
    </row>
    <row r="185" spans="1:22">
      <c r="A185" s="63"/>
      <c r="B185" s="70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80"/>
      <c r="R185" s="80"/>
      <c r="S185" s="80"/>
      <c r="T185" s="121"/>
      <c r="U185" s="122"/>
      <c r="V185" s="73"/>
    </row>
    <row r="186" spans="1:22">
      <c r="A186" s="63"/>
      <c r="B186" s="70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0"/>
      <c r="N186" s="80"/>
      <c r="O186" s="80"/>
      <c r="P186" s="80"/>
      <c r="Q186" s="80"/>
      <c r="R186" s="80"/>
      <c r="S186" s="80"/>
      <c r="T186" s="121"/>
      <c r="U186" s="122"/>
      <c r="V186" s="73"/>
    </row>
    <row r="187" spans="1:22">
      <c r="A187" s="63"/>
      <c r="B187" s="70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0"/>
      <c r="S187" s="80"/>
      <c r="T187" s="121"/>
      <c r="U187" s="122"/>
      <c r="V187" s="73"/>
    </row>
    <row r="188" spans="1:22">
      <c r="A188" s="63"/>
      <c r="B188" s="70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0"/>
      <c r="N188" s="80"/>
      <c r="O188" s="80"/>
      <c r="P188" s="80"/>
      <c r="Q188" s="80"/>
      <c r="R188" s="80"/>
      <c r="S188" s="80"/>
      <c r="T188" s="121"/>
      <c r="U188" s="122"/>
      <c r="V188" s="73"/>
    </row>
    <row r="189" spans="1:22">
      <c r="A189" s="63"/>
      <c r="B189" s="70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121"/>
      <c r="U189" s="122"/>
      <c r="V189" s="73"/>
    </row>
    <row r="190" spans="1:22">
      <c r="A190" s="63"/>
      <c r="B190" s="70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121"/>
      <c r="U190" s="122"/>
      <c r="V190" s="73"/>
    </row>
    <row r="191" spans="1:22">
      <c r="A191" s="63"/>
      <c r="B191" s="70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80"/>
      <c r="R191" s="80"/>
      <c r="S191" s="80"/>
      <c r="T191" s="121"/>
      <c r="U191" s="122"/>
      <c r="V191" s="73"/>
    </row>
    <row r="192" spans="1:22">
      <c r="A192" s="63"/>
      <c r="B192" s="70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80"/>
      <c r="T192" s="121"/>
      <c r="U192" s="122"/>
      <c r="V192" s="73"/>
    </row>
    <row r="193" spans="1:22">
      <c r="A193" s="63"/>
      <c r="B193" s="70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80"/>
      <c r="R193" s="80"/>
      <c r="S193" s="80"/>
      <c r="T193" s="121"/>
      <c r="U193" s="122"/>
      <c r="V193" s="73"/>
    </row>
    <row r="194" spans="1:22">
      <c r="A194" s="63"/>
      <c r="B194" s="7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121"/>
      <c r="U194" s="122"/>
      <c r="V194" s="73"/>
    </row>
    <row r="195" spans="1:22">
      <c r="A195" s="63"/>
      <c r="B195" s="70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121"/>
      <c r="U195" s="122"/>
      <c r="V195" s="73"/>
    </row>
    <row r="196" spans="1:22">
      <c r="A196" s="63"/>
      <c r="B196" s="7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121"/>
      <c r="U196" s="122"/>
      <c r="V196" s="73"/>
    </row>
    <row r="197" spans="1:22">
      <c r="A197" s="63"/>
      <c r="B197" s="70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80"/>
      <c r="R197" s="80"/>
      <c r="S197" s="80"/>
      <c r="T197" s="121"/>
      <c r="U197" s="122"/>
      <c r="V197" s="73"/>
    </row>
    <row r="198" spans="1:22">
      <c r="A198" s="63"/>
      <c r="B198" s="70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80"/>
      <c r="R198" s="80"/>
      <c r="S198" s="80"/>
      <c r="T198" s="121"/>
      <c r="U198" s="122"/>
      <c r="V198" s="73"/>
    </row>
    <row r="199" spans="1:22">
      <c r="A199" s="63"/>
      <c r="B199" s="70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80"/>
      <c r="R199" s="80"/>
      <c r="S199" s="80"/>
      <c r="T199" s="121"/>
      <c r="U199" s="122"/>
      <c r="V199" s="73"/>
    </row>
    <row r="200" spans="1:22">
      <c r="A200" s="63"/>
      <c r="B200" s="70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  <c r="R200" s="80"/>
      <c r="S200" s="80"/>
      <c r="T200" s="121"/>
      <c r="U200" s="122"/>
      <c r="V200" s="73"/>
    </row>
    <row r="201" spans="1:22">
      <c r="A201" s="63"/>
      <c r="B201" s="70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80"/>
      <c r="T201" s="121"/>
      <c r="U201" s="122"/>
      <c r="V201" s="73"/>
    </row>
    <row r="202" spans="1:22">
      <c r="A202" s="63"/>
      <c r="B202" s="70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/>
      <c r="P202" s="80"/>
      <c r="Q202" s="80"/>
      <c r="R202" s="80"/>
      <c r="S202" s="80"/>
      <c r="T202" s="121"/>
      <c r="U202" s="122"/>
      <c r="V202" s="73"/>
    </row>
    <row r="203" spans="1:22">
      <c r="A203" s="63"/>
      <c r="B203" s="70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  <c r="R203" s="80"/>
      <c r="S203" s="80"/>
      <c r="T203" s="121"/>
      <c r="U203" s="122"/>
      <c r="V203" s="73"/>
    </row>
    <row r="204" spans="1:22">
      <c r="A204" s="63"/>
      <c r="B204" s="70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  <c r="R204" s="80"/>
      <c r="S204" s="80"/>
      <c r="T204" s="121"/>
      <c r="U204" s="122"/>
      <c r="V204" s="73"/>
    </row>
    <row r="205" spans="1:22">
      <c r="A205" s="63"/>
      <c r="B205" s="70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121"/>
      <c r="U205" s="122"/>
      <c r="V205" s="73"/>
    </row>
    <row r="206" spans="1:22">
      <c r="A206" s="63"/>
      <c r="B206" s="70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121"/>
      <c r="U206" s="122"/>
      <c r="V206" s="73"/>
    </row>
    <row r="207" spans="1:22">
      <c r="A207" s="63"/>
      <c r="B207" s="70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121"/>
      <c r="U207" s="122"/>
      <c r="V207" s="73"/>
    </row>
    <row r="208" spans="1:22">
      <c r="A208" s="63"/>
      <c r="B208" s="70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121"/>
      <c r="U208" s="122"/>
      <c r="V208" s="73"/>
    </row>
    <row r="209" spans="1:22">
      <c r="A209" s="63"/>
      <c r="B209" s="70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  <c r="R209" s="80"/>
      <c r="S209" s="80"/>
      <c r="T209" s="121"/>
      <c r="U209" s="122"/>
      <c r="V209" s="73"/>
    </row>
    <row r="210" spans="1:22">
      <c r="A210" s="63"/>
      <c r="B210" s="70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80"/>
      <c r="R210" s="80"/>
      <c r="S210" s="80"/>
      <c r="T210" s="121"/>
      <c r="U210" s="122"/>
      <c r="V210" s="73"/>
    </row>
    <row r="211" spans="1:22">
      <c r="A211" s="63"/>
      <c r="B211" s="70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  <c r="R211" s="80"/>
      <c r="S211" s="80"/>
      <c r="T211" s="121"/>
      <c r="U211" s="122"/>
      <c r="V211" s="73"/>
    </row>
    <row r="212" spans="1:22">
      <c r="A212" s="63"/>
      <c r="B212" s="70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  <c r="R212" s="80"/>
      <c r="S212" s="80"/>
      <c r="T212" s="121"/>
      <c r="U212" s="122"/>
      <c r="V212" s="73"/>
    </row>
    <row r="213" spans="1:22">
      <c r="A213" s="63"/>
      <c r="B213" s="70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0"/>
      <c r="N213" s="80"/>
      <c r="O213" s="80"/>
      <c r="P213" s="80"/>
      <c r="Q213" s="80"/>
      <c r="R213" s="80"/>
      <c r="S213" s="80"/>
      <c r="T213" s="121"/>
      <c r="U213" s="122"/>
      <c r="V213" s="73"/>
    </row>
    <row r="214" spans="1:22">
      <c r="A214" s="63"/>
      <c r="B214" s="7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T214" s="121"/>
      <c r="U214" s="122"/>
      <c r="V214" s="73"/>
    </row>
    <row r="215" spans="1:22">
      <c r="A215" s="63"/>
      <c r="B215" s="70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80"/>
      <c r="Q215" s="80"/>
      <c r="R215" s="80"/>
      <c r="S215" s="80"/>
      <c r="T215" s="121"/>
      <c r="U215" s="122"/>
      <c r="V215" s="73"/>
    </row>
    <row r="216" spans="1:22">
      <c r="A216" s="63"/>
      <c r="B216" s="70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0"/>
      <c r="N216" s="80"/>
      <c r="O216" s="80"/>
      <c r="P216" s="80"/>
      <c r="Q216" s="80"/>
      <c r="R216" s="80"/>
      <c r="S216" s="80"/>
      <c r="T216" s="121"/>
      <c r="U216" s="122"/>
      <c r="V216" s="73"/>
    </row>
    <row r="217" spans="1:22">
      <c r="A217" s="63"/>
      <c r="B217" s="70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80"/>
      <c r="R217" s="80"/>
      <c r="S217" s="80"/>
      <c r="T217" s="121"/>
      <c r="U217" s="122"/>
      <c r="V217" s="73"/>
    </row>
    <row r="218" spans="1:22">
      <c r="A218" s="63"/>
      <c r="B218" s="70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0"/>
      <c r="N218" s="80"/>
      <c r="O218" s="80"/>
      <c r="P218" s="80"/>
      <c r="Q218" s="80"/>
      <c r="R218" s="80"/>
      <c r="S218" s="80"/>
      <c r="T218" s="121"/>
      <c r="U218" s="122"/>
      <c r="V218" s="73"/>
    </row>
    <row r="219" spans="1:22">
      <c r="A219" s="63"/>
      <c r="B219" s="70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80"/>
      <c r="R219" s="80"/>
      <c r="S219" s="80"/>
      <c r="T219" s="121"/>
      <c r="U219" s="122"/>
      <c r="V219" s="73"/>
    </row>
    <row r="220" spans="1:22">
      <c r="A220" s="63"/>
      <c r="B220" s="70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0"/>
      <c r="N220" s="80"/>
      <c r="O220" s="80"/>
      <c r="P220" s="80"/>
      <c r="Q220" s="80"/>
      <c r="R220" s="80"/>
      <c r="S220" s="80"/>
      <c r="T220" s="121"/>
      <c r="U220" s="122"/>
      <c r="V220" s="73"/>
    </row>
    <row r="221" spans="1:22">
      <c r="A221" s="63"/>
      <c r="B221" s="70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80"/>
      <c r="T221" s="121"/>
      <c r="U221" s="122"/>
      <c r="V221" s="73"/>
    </row>
    <row r="222" spans="1:22">
      <c r="A222" s="63"/>
      <c r="B222" s="70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121"/>
      <c r="U222" s="122"/>
      <c r="V222" s="73"/>
    </row>
    <row r="223" spans="1:22">
      <c r="A223" s="63"/>
      <c r="B223" s="70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121"/>
      <c r="U223" s="122"/>
      <c r="V223" s="73"/>
    </row>
    <row r="224" spans="1:22">
      <c r="A224" s="63"/>
      <c r="B224" s="70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0"/>
      <c r="N224" s="80"/>
      <c r="O224" s="80"/>
      <c r="P224" s="80"/>
      <c r="Q224" s="80"/>
      <c r="R224" s="80"/>
      <c r="S224" s="80"/>
      <c r="T224" s="121"/>
      <c r="U224" s="122"/>
      <c r="V224" s="73"/>
    </row>
    <row r="225" spans="1:22">
      <c r="A225" s="63"/>
      <c r="B225" s="70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O225" s="80"/>
      <c r="P225" s="80"/>
      <c r="Q225" s="80"/>
      <c r="R225" s="80"/>
      <c r="S225" s="80"/>
      <c r="T225" s="121"/>
      <c r="U225" s="122"/>
      <c r="V225" s="73"/>
    </row>
    <row r="226" spans="1:22">
      <c r="A226" s="63"/>
      <c r="B226" s="70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0"/>
      <c r="N226" s="80"/>
      <c r="O226" s="80"/>
      <c r="P226" s="80"/>
      <c r="Q226" s="80"/>
      <c r="R226" s="80"/>
      <c r="S226" s="80"/>
      <c r="T226" s="121"/>
      <c r="U226" s="122"/>
      <c r="V226" s="73"/>
    </row>
    <row r="227" spans="1:22">
      <c r="A227" s="63"/>
      <c r="B227" s="70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80"/>
      <c r="T227" s="121"/>
      <c r="U227" s="122"/>
      <c r="V227" s="73"/>
    </row>
    <row r="228" spans="1:22">
      <c r="A228" s="63"/>
      <c r="B228" s="70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O228" s="80"/>
      <c r="P228" s="80"/>
      <c r="Q228" s="80"/>
      <c r="R228" s="80"/>
      <c r="S228" s="80"/>
      <c r="T228" s="121"/>
      <c r="U228" s="122"/>
      <c r="V228" s="73"/>
    </row>
    <row r="229" spans="1:22">
      <c r="A229" s="63"/>
      <c r="B229" s="70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80"/>
      <c r="R229" s="80"/>
      <c r="S229" s="80"/>
      <c r="T229" s="121"/>
      <c r="U229" s="122"/>
      <c r="V229" s="73"/>
    </row>
    <row r="230" spans="1:22">
      <c r="A230" s="63"/>
      <c r="B230" s="70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O230" s="80"/>
      <c r="P230" s="80"/>
      <c r="Q230" s="80"/>
      <c r="R230" s="80"/>
      <c r="S230" s="80"/>
      <c r="T230" s="121"/>
      <c r="U230" s="122"/>
      <c r="V230" s="73"/>
    </row>
    <row r="231" spans="1:22">
      <c r="A231" s="63"/>
      <c r="B231" s="70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80"/>
      <c r="R231" s="80"/>
      <c r="S231" s="80"/>
      <c r="T231" s="121"/>
      <c r="U231" s="122"/>
      <c r="V231" s="73"/>
    </row>
    <row r="232" spans="1:22">
      <c r="A232" s="63"/>
      <c r="B232" s="70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80"/>
      <c r="R232" s="80"/>
      <c r="S232" s="80"/>
      <c r="T232" s="121"/>
      <c r="U232" s="122"/>
      <c r="V232" s="73"/>
    </row>
    <row r="233" spans="1:22">
      <c r="A233" s="63"/>
      <c r="B233" s="70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121"/>
      <c r="U233" s="122"/>
      <c r="V233" s="73"/>
    </row>
    <row r="234" spans="1:22">
      <c r="A234" s="63"/>
      <c r="B234" s="70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121"/>
      <c r="U234" s="122"/>
      <c r="V234" s="73"/>
    </row>
    <row r="235" spans="1:22">
      <c r="A235" s="63"/>
      <c r="B235" s="70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  <c r="R235" s="80"/>
      <c r="S235" s="80"/>
      <c r="T235" s="121"/>
      <c r="U235" s="122"/>
      <c r="V235" s="73"/>
    </row>
    <row r="236" spans="1:22">
      <c r="A236" s="63"/>
      <c r="B236" s="70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0"/>
      <c r="N236" s="80"/>
      <c r="O236" s="80"/>
      <c r="P236" s="80"/>
      <c r="Q236" s="80"/>
      <c r="R236" s="80"/>
      <c r="S236" s="80"/>
      <c r="T236" s="121"/>
      <c r="U236" s="122"/>
      <c r="V236" s="73"/>
    </row>
    <row r="237" spans="1:22">
      <c r="A237" s="63"/>
      <c r="B237" s="70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80"/>
      <c r="R237" s="80"/>
      <c r="S237" s="80"/>
      <c r="T237" s="121"/>
      <c r="U237" s="122"/>
      <c r="V237" s="73"/>
    </row>
    <row r="238" spans="1:22">
      <c r="A238" s="63"/>
      <c r="B238" s="70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0"/>
      <c r="N238" s="80"/>
      <c r="O238" s="80"/>
      <c r="P238" s="80"/>
      <c r="Q238" s="80"/>
      <c r="R238" s="80"/>
      <c r="S238" s="80"/>
      <c r="T238" s="121"/>
      <c r="U238" s="122"/>
      <c r="V238" s="73"/>
    </row>
    <row r="239" spans="1:22">
      <c r="A239" s="63"/>
      <c r="B239" s="70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80"/>
      <c r="T239" s="121"/>
      <c r="U239" s="122"/>
      <c r="V239" s="73"/>
    </row>
    <row r="240" spans="1:22">
      <c r="A240" s="63"/>
      <c r="B240" s="70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0"/>
      <c r="N240" s="80"/>
      <c r="O240" s="80"/>
      <c r="P240" s="80"/>
      <c r="Q240" s="80"/>
      <c r="R240" s="80"/>
      <c r="S240" s="80"/>
      <c r="T240" s="121"/>
      <c r="U240" s="122"/>
      <c r="V240" s="73"/>
    </row>
    <row r="241" spans="1:22">
      <c r="A241" s="63"/>
      <c r="B241" s="70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80"/>
      <c r="R241" s="80"/>
      <c r="S241" s="80"/>
      <c r="T241" s="121"/>
      <c r="U241" s="122"/>
      <c r="V241" s="73"/>
    </row>
    <row r="242" spans="1:22">
      <c r="A242" s="63"/>
      <c r="B242" s="70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80"/>
      <c r="R242" s="80"/>
      <c r="S242" s="80"/>
      <c r="T242" s="121"/>
      <c r="U242" s="122"/>
      <c r="V242" s="73"/>
    </row>
    <row r="243" spans="1:22">
      <c r="A243" s="63"/>
      <c r="B243" s="70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0"/>
      <c r="N243" s="80"/>
      <c r="O243" s="80"/>
      <c r="P243" s="80"/>
      <c r="Q243" s="80"/>
      <c r="R243" s="80"/>
      <c r="S243" s="80"/>
      <c r="T243" s="121"/>
      <c r="U243" s="122"/>
      <c r="V243" s="73"/>
    </row>
    <row r="244" spans="1:22">
      <c r="A244" s="63"/>
      <c r="B244" s="70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0"/>
      <c r="N244" s="80"/>
      <c r="O244" s="80"/>
      <c r="P244" s="80"/>
      <c r="Q244" s="80"/>
      <c r="R244" s="80"/>
      <c r="S244" s="80"/>
      <c r="T244" s="121"/>
      <c r="U244" s="122"/>
      <c r="V244" s="73"/>
    </row>
    <row r="245" spans="1:22">
      <c r="A245" s="63"/>
      <c r="B245" s="70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80"/>
      <c r="R245" s="80"/>
      <c r="S245" s="80"/>
      <c r="T245" s="121"/>
      <c r="U245" s="122"/>
      <c r="V245" s="73"/>
    </row>
    <row r="246" spans="1:22">
      <c r="A246" s="63"/>
      <c r="B246" s="70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0"/>
      <c r="N246" s="80"/>
      <c r="O246" s="80"/>
      <c r="P246" s="80"/>
      <c r="Q246" s="80"/>
      <c r="R246" s="80"/>
      <c r="S246" s="80"/>
      <c r="T246" s="121"/>
      <c r="U246" s="122"/>
      <c r="V246" s="73"/>
    </row>
    <row r="247" spans="1:22">
      <c r="A247" s="63"/>
      <c r="B247" s="70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0"/>
      <c r="S247" s="80"/>
      <c r="T247" s="121"/>
      <c r="U247" s="122"/>
      <c r="V247" s="73"/>
    </row>
    <row r="248" spans="1:22">
      <c r="A248" s="63"/>
      <c r="B248" s="70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121"/>
      <c r="U248" s="122"/>
      <c r="V248" s="73"/>
    </row>
    <row r="249" spans="1:22">
      <c r="A249" s="63"/>
      <c r="B249" s="70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0"/>
      <c r="N249" s="80"/>
      <c r="O249" s="80"/>
      <c r="P249" s="80"/>
      <c r="Q249" s="80"/>
      <c r="R249" s="80"/>
      <c r="S249" s="80"/>
      <c r="T249" s="121"/>
      <c r="U249" s="122"/>
      <c r="V249" s="73"/>
    </row>
    <row r="250" spans="1:22">
      <c r="A250" s="63"/>
      <c r="B250" s="70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0"/>
      <c r="N250" s="80"/>
      <c r="O250" s="80"/>
      <c r="P250" s="80"/>
      <c r="Q250" s="80"/>
      <c r="R250" s="80"/>
      <c r="S250" s="80"/>
      <c r="T250" s="121"/>
      <c r="U250" s="122"/>
      <c r="V250" s="73"/>
    </row>
    <row r="251" spans="1:22">
      <c r="A251" s="63"/>
      <c r="B251" s="70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80"/>
      <c r="R251" s="80"/>
      <c r="S251" s="80"/>
      <c r="T251" s="121"/>
      <c r="U251" s="122"/>
      <c r="V251" s="73"/>
    </row>
    <row r="252" spans="1:22">
      <c r="A252" s="63"/>
      <c r="B252" s="70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0"/>
      <c r="N252" s="80"/>
      <c r="O252" s="80"/>
      <c r="P252" s="80"/>
      <c r="Q252" s="80"/>
      <c r="R252" s="80"/>
      <c r="S252" s="80"/>
      <c r="T252" s="121"/>
      <c r="U252" s="122"/>
      <c r="V252" s="73"/>
    </row>
    <row r="253" spans="1:22">
      <c r="A253" s="63"/>
      <c r="B253" s="70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80"/>
      <c r="R253" s="80"/>
      <c r="S253" s="80"/>
      <c r="T253" s="121"/>
      <c r="U253" s="122"/>
      <c r="V253" s="73"/>
    </row>
    <row r="254" spans="1:22">
      <c r="A254" s="63"/>
      <c r="B254" s="70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0"/>
      <c r="N254" s="80"/>
      <c r="O254" s="80"/>
      <c r="P254" s="80"/>
      <c r="Q254" s="80"/>
      <c r="R254" s="80"/>
      <c r="S254" s="80"/>
      <c r="T254" s="121"/>
      <c r="U254" s="122"/>
      <c r="V254" s="73"/>
    </row>
    <row r="255" spans="1:22">
      <c r="A255" s="63"/>
      <c r="B255" s="70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0"/>
      <c r="N255" s="80"/>
      <c r="O255" s="80"/>
      <c r="P255" s="80"/>
      <c r="Q255" s="80"/>
      <c r="R255" s="80"/>
      <c r="S255" s="80"/>
      <c r="T255" s="121"/>
      <c r="U255" s="122"/>
      <c r="V255" s="73"/>
    </row>
    <row r="256" spans="1:22">
      <c r="A256" s="63"/>
      <c r="B256" s="70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80"/>
      <c r="R256" s="80"/>
      <c r="S256" s="80"/>
      <c r="T256" s="121"/>
      <c r="U256" s="122"/>
      <c r="V256" s="73"/>
    </row>
    <row r="257" spans="1:22">
      <c r="A257" s="63"/>
      <c r="B257" s="70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0"/>
      <c r="N257" s="80"/>
      <c r="O257" s="80"/>
      <c r="P257" s="80"/>
      <c r="Q257" s="80"/>
      <c r="R257" s="80"/>
      <c r="S257" s="80"/>
      <c r="T257" s="121"/>
      <c r="U257" s="122"/>
      <c r="V257" s="73"/>
    </row>
    <row r="258" spans="1:22">
      <c r="A258" s="63"/>
      <c r="B258" s="70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0"/>
      <c r="N258" s="80"/>
      <c r="O258" s="80"/>
      <c r="P258" s="80"/>
      <c r="Q258" s="80"/>
      <c r="R258" s="80"/>
      <c r="S258" s="80"/>
      <c r="T258" s="121"/>
      <c r="U258" s="122"/>
      <c r="V258" s="73"/>
    </row>
    <row r="259" spans="1:22">
      <c r="A259" s="63"/>
      <c r="B259" s="70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  <c r="R259" s="80"/>
      <c r="S259" s="80"/>
      <c r="T259" s="121"/>
      <c r="U259" s="122"/>
      <c r="V259" s="73"/>
    </row>
    <row r="260" spans="1:22">
      <c r="A260" s="63"/>
      <c r="B260" s="70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0"/>
      <c r="S260" s="80"/>
      <c r="T260" s="121"/>
      <c r="U260" s="122"/>
      <c r="V260" s="73"/>
    </row>
    <row r="261" spans="1:22">
      <c r="A261" s="63"/>
      <c r="B261" s="70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121"/>
      <c r="U261" s="122"/>
      <c r="V261" s="73"/>
    </row>
    <row r="262" spans="1:22">
      <c r="A262" s="63"/>
      <c r="B262" s="70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0"/>
      <c r="N262" s="80"/>
      <c r="O262" s="80"/>
      <c r="P262" s="80"/>
      <c r="Q262" s="80"/>
      <c r="R262" s="80"/>
      <c r="S262" s="80"/>
      <c r="T262" s="121"/>
      <c r="U262" s="122"/>
      <c r="V262" s="73"/>
    </row>
    <row r="263" spans="1:22">
      <c r="A263" s="63"/>
      <c r="B263" s="70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0"/>
      <c r="N263" s="80"/>
      <c r="O263" s="80"/>
      <c r="P263" s="80"/>
      <c r="Q263" s="80"/>
      <c r="R263" s="80"/>
      <c r="S263" s="80"/>
      <c r="T263" s="121"/>
      <c r="U263" s="122"/>
      <c r="V263" s="73"/>
    </row>
    <row r="264" spans="1:22">
      <c r="A264" s="63"/>
      <c r="B264" s="70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0"/>
      <c r="N264" s="80"/>
      <c r="O264" s="80"/>
      <c r="P264" s="80"/>
      <c r="Q264" s="80"/>
      <c r="R264" s="80"/>
      <c r="S264" s="80"/>
      <c r="T264" s="121"/>
      <c r="U264" s="122"/>
      <c r="V264" s="73"/>
    </row>
    <row r="265" spans="1:22">
      <c r="A265" s="63"/>
      <c r="B265" s="70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0"/>
      <c r="S265" s="80"/>
      <c r="T265" s="121"/>
      <c r="U265" s="122"/>
      <c r="V265" s="73"/>
    </row>
    <row r="266" spans="1:22">
      <c r="A266" s="63"/>
      <c r="B266" s="70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0"/>
      <c r="N266" s="80"/>
      <c r="O266" s="80"/>
      <c r="P266" s="80"/>
      <c r="Q266" s="80"/>
      <c r="R266" s="80"/>
      <c r="S266" s="80"/>
      <c r="T266" s="121"/>
      <c r="U266" s="122"/>
      <c r="V266" s="73"/>
    </row>
    <row r="267" spans="1:22">
      <c r="A267" s="63"/>
      <c r="B267" s="70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0"/>
      <c r="S267" s="80"/>
      <c r="T267" s="121"/>
      <c r="U267" s="122"/>
      <c r="V267" s="73"/>
    </row>
    <row r="268" spans="1:22">
      <c r="A268" s="63"/>
      <c r="B268" s="70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0"/>
      <c r="N268" s="80"/>
      <c r="O268" s="80"/>
      <c r="P268" s="80"/>
      <c r="Q268" s="80"/>
      <c r="R268" s="80"/>
      <c r="S268" s="80"/>
      <c r="T268" s="121"/>
      <c r="U268" s="122"/>
      <c r="V268" s="73"/>
    </row>
    <row r="269" spans="1:22">
      <c r="A269" s="63"/>
      <c r="B269" s="70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80"/>
      <c r="R269" s="80"/>
      <c r="S269" s="80"/>
      <c r="T269" s="121"/>
      <c r="U269" s="122"/>
      <c r="V269" s="73"/>
    </row>
    <row r="270" spans="1:22">
      <c r="A270" s="63"/>
      <c r="B270" s="70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80"/>
      <c r="R270" s="80"/>
      <c r="S270" s="80"/>
      <c r="T270" s="121"/>
      <c r="U270" s="122"/>
      <c r="V270" s="73"/>
    </row>
    <row r="271" spans="1:22">
      <c r="A271" s="63"/>
      <c r="B271" s="70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0"/>
      <c r="S271" s="80"/>
      <c r="T271" s="121"/>
      <c r="U271" s="122"/>
      <c r="V271" s="73"/>
    </row>
    <row r="272" spans="1:22">
      <c r="A272" s="63"/>
      <c r="B272" s="70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  <c r="S272" s="80"/>
      <c r="T272" s="121"/>
      <c r="U272" s="122"/>
      <c r="V272" s="73"/>
    </row>
    <row r="273" spans="1:22">
      <c r="A273" s="63"/>
      <c r="B273" s="70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  <c r="S273" s="80"/>
      <c r="T273" s="121"/>
      <c r="U273" s="122"/>
      <c r="V273" s="73"/>
    </row>
    <row r="274" spans="1:22">
      <c r="A274" s="63"/>
      <c r="B274" s="70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  <c r="S274" s="80"/>
      <c r="T274" s="121"/>
      <c r="U274" s="122"/>
      <c r="V274" s="73"/>
    </row>
    <row r="275" spans="1:22">
      <c r="A275" s="63"/>
      <c r="B275" s="70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  <c r="S275" s="80"/>
      <c r="T275" s="121"/>
      <c r="U275" s="122"/>
      <c r="V275" s="73"/>
    </row>
    <row r="276" spans="1:22">
      <c r="A276" s="63"/>
      <c r="B276" s="70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  <c r="S276" s="80"/>
      <c r="T276" s="121"/>
      <c r="U276" s="122"/>
      <c r="V276" s="73"/>
    </row>
    <row r="277" spans="1:22">
      <c r="A277" s="63"/>
      <c r="B277" s="70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  <c r="S277" s="80"/>
      <c r="T277" s="121"/>
      <c r="U277" s="122"/>
      <c r="V277" s="73"/>
    </row>
    <row r="278" spans="1:22">
      <c r="A278" s="63"/>
      <c r="B278" s="70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  <c r="S278" s="80"/>
      <c r="T278" s="121"/>
      <c r="U278" s="122"/>
      <c r="V278" s="73"/>
    </row>
    <row r="279" spans="1:22">
      <c r="A279" s="63"/>
      <c r="B279" s="70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  <c r="S279" s="80"/>
      <c r="T279" s="121"/>
      <c r="U279" s="122"/>
      <c r="V279" s="73"/>
    </row>
    <row r="280" spans="1:22">
      <c r="A280" s="63"/>
      <c r="B280" s="70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80"/>
      <c r="R280" s="80"/>
      <c r="S280" s="80"/>
      <c r="T280" s="121"/>
      <c r="U280" s="122"/>
      <c r="V280" s="73"/>
    </row>
    <row r="281" spans="1:22">
      <c r="A281" s="63"/>
      <c r="B281" s="70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  <c r="S281" s="80"/>
      <c r="T281" s="121"/>
      <c r="U281" s="122"/>
      <c r="V281" s="73"/>
    </row>
    <row r="282" spans="1:22">
      <c r="A282" s="63"/>
      <c r="B282" s="70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0"/>
      <c r="N282" s="80"/>
      <c r="O282" s="80"/>
      <c r="P282" s="80"/>
      <c r="Q282" s="80"/>
      <c r="R282" s="80"/>
      <c r="S282" s="80"/>
      <c r="T282" s="121"/>
      <c r="U282" s="122"/>
      <c r="V282" s="73"/>
    </row>
    <row r="283" spans="1:22">
      <c r="A283" s="63"/>
      <c r="B283" s="70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80"/>
      <c r="R283" s="80"/>
      <c r="S283" s="80"/>
      <c r="T283" s="121"/>
      <c r="U283" s="122"/>
      <c r="V283" s="73"/>
    </row>
    <row r="284" spans="1:22">
      <c r="A284" s="63"/>
      <c r="B284" s="70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0"/>
      <c r="N284" s="80"/>
      <c r="O284" s="80"/>
      <c r="P284" s="80"/>
      <c r="Q284" s="80"/>
      <c r="R284" s="80"/>
      <c r="S284" s="80"/>
      <c r="T284" s="121"/>
      <c r="U284" s="122"/>
      <c r="V284" s="73"/>
    </row>
    <row r="285" spans="1:22">
      <c r="A285" s="63"/>
      <c r="B285" s="70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80"/>
      <c r="R285" s="80"/>
      <c r="S285" s="80"/>
      <c r="T285" s="121"/>
      <c r="U285" s="122"/>
      <c r="V285" s="73"/>
    </row>
    <row r="286" spans="1:22">
      <c r="A286" s="63"/>
      <c r="B286" s="70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  <c r="S286" s="80"/>
      <c r="T286" s="121"/>
      <c r="U286" s="122"/>
      <c r="V286" s="73"/>
    </row>
    <row r="287" spans="1:22">
      <c r="A287" s="63"/>
      <c r="B287" s="70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0"/>
      <c r="S287" s="80"/>
      <c r="T287" s="121"/>
      <c r="U287" s="122"/>
      <c r="V287" s="73"/>
    </row>
    <row r="288" spans="1:22">
      <c r="A288" s="63"/>
      <c r="B288" s="70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  <c r="R288" s="80"/>
      <c r="S288" s="80"/>
      <c r="T288" s="121"/>
      <c r="U288" s="122"/>
      <c r="V288" s="73"/>
    </row>
    <row r="289" spans="1:22">
      <c r="A289" s="63"/>
      <c r="B289" s="70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  <c r="S289" s="80"/>
      <c r="T289" s="121"/>
      <c r="U289" s="122"/>
      <c r="V289" s="73"/>
    </row>
    <row r="290" spans="1:22">
      <c r="A290" s="63"/>
      <c r="B290" s="70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  <c r="R290" s="80"/>
      <c r="S290" s="80"/>
      <c r="T290" s="121"/>
      <c r="U290" s="122"/>
      <c r="V290" s="73"/>
    </row>
    <row r="291" spans="1:22">
      <c r="A291" s="63"/>
      <c r="B291" s="70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80"/>
      <c r="T291" s="121"/>
      <c r="U291" s="122"/>
      <c r="V291" s="73"/>
    </row>
    <row r="292" spans="1:22">
      <c r="A292" s="63"/>
      <c r="B292" s="70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  <c r="R292" s="80"/>
      <c r="S292" s="80"/>
      <c r="T292" s="121"/>
      <c r="U292" s="122"/>
      <c r="V292" s="73"/>
    </row>
    <row r="293" spans="1:22">
      <c r="A293" s="63"/>
      <c r="B293" s="70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  <c r="R293" s="80"/>
      <c r="S293" s="80"/>
      <c r="T293" s="121"/>
      <c r="U293" s="122"/>
      <c r="V293" s="73"/>
    </row>
    <row r="294" spans="1:22">
      <c r="A294" s="63"/>
      <c r="B294" s="70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  <c r="R294" s="80"/>
      <c r="S294" s="80"/>
      <c r="T294" s="121"/>
      <c r="U294" s="122"/>
      <c r="V294" s="73"/>
    </row>
    <row r="295" spans="1:22">
      <c r="A295" s="63"/>
      <c r="B295" s="70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80"/>
      <c r="T295" s="121"/>
      <c r="U295" s="122"/>
      <c r="V295" s="73"/>
    </row>
    <row r="296" spans="1:22">
      <c r="A296" s="63"/>
      <c r="B296" s="70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/>
      <c r="O296" s="80"/>
      <c r="P296" s="80"/>
      <c r="Q296" s="80"/>
      <c r="R296" s="80"/>
      <c r="S296" s="80"/>
      <c r="T296" s="121"/>
      <c r="U296" s="122"/>
      <c r="V296" s="73"/>
    </row>
    <row r="297" spans="1:22">
      <c r="A297" s="63"/>
      <c r="B297" s="70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/>
      <c r="O297" s="80"/>
      <c r="P297" s="80"/>
      <c r="Q297" s="80"/>
      <c r="R297" s="80"/>
      <c r="S297" s="80"/>
      <c r="T297" s="121"/>
      <c r="U297" s="122"/>
      <c r="V297" s="73"/>
    </row>
    <row r="298" spans="1:22">
      <c r="A298" s="63"/>
      <c r="B298" s="70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/>
      <c r="O298" s="80"/>
      <c r="P298" s="80"/>
      <c r="Q298" s="80"/>
      <c r="R298" s="80"/>
      <c r="S298" s="80"/>
      <c r="T298" s="121"/>
      <c r="U298" s="122"/>
      <c r="V298" s="73"/>
    </row>
    <row r="299" spans="1:22">
      <c r="A299" s="63"/>
      <c r="B299" s="70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0"/>
      <c r="N299" s="80"/>
      <c r="O299" s="80"/>
      <c r="P299" s="80"/>
      <c r="Q299" s="80"/>
      <c r="R299" s="80"/>
      <c r="S299" s="80"/>
      <c r="T299" s="121"/>
      <c r="U299" s="122"/>
      <c r="V299" s="73"/>
    </row>
    <row r="300" spans="1:22">
      <c r="A300" s="63"/>
      <c r="B300" s="70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  <c r="R300" s="80"/>
      <c r="S300" s="80"/>
      <c r="T300" s="121"/>
      <c r="U300" s="122"/>
      <c r="V300" s="73"/>
    </row>
    <row r="301" spans="1:22">
      <c r="A301" s="63"/>
      <c r="B301" s="70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80"/>
      <c r="R301" s="80"/>
      <c r="S301" s="80"/>
      <c r="T301" s="121"/>
      <c r="U301" s="122"/>
      <c r="V301" s="73"/>
    </row>
    <row r="302" spans="1:22">
      <c r="A302" s="63"/>
      <c r="B302" s="70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0"/>
      <c r="N302" s="80"/>
      <c r="O302" s="80"/>
      <c r="P302" s="80"/>
      <c r="Q302" s="80"/>
      <c r="R302" s="80"/>
      <c r="S302" s="80"/>
      <c r="T302" s="121"/>
      <c r="U302" s="122"/>
      <c r="V302" s="73"/>
    </row>
    <row r="303" spans="1:22">
      <c r="A303" s="63"/>
      <c r="B303" s="70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  <c r="S303" s="80"/>
      <c r="T303" s="121"/>
      <c r="U303" s="122"/>
      <c r="V303" s="73"/>
    </row>
    <row r="304" spans="1:22">
      <c r="A304" s="63"/>
      <c r="B304" s="70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80"/>
      <c r="R304" s="80"/>
      <c r="S304" s="80"/>
      <c r="T304" s="121"/>
      <c r="U304" s="122"/>
      <c r="V304" s="73"/>
    </row>
    <row r="305" spans="1:22">
      <c r="A305" s="63"/>
      <c r="B305" s="70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80"/>
      <c r="R305" s="80"/>
      <c r="S305" s="80"/>
      <c r="T305" s="121"/>
      <c r="U305" s="122"/>
      <c r="V305" s="73"/>
    </row>
    <row r="306" spans="1:22">
      <c r="A306" s="63"/>
      <c r="B306" s="70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80"/>
      <c r="R306" s="80"/>
      <c r="S306" s="80"/>
      <c r="T306" s="121"/>
      <c r="U306" s="122"/>
      <c r="V306" s="73"/>
    </row>
    <row r="307" spans="1:22">
      <c r="A307" s="63"/>
      <c r="B307" s="70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0"/>
      <c r="S307" s="80"/>
      <c r="T307" s="121"/>
      <c r="U307" s="122"/>
      <c r="V307" s="73"/>
    </row>
    <row r="308" spans="1:22">
      <c r="A308" s="63"/>
      <c r="B308" s="70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0"/>
      <c r="N308" s="80"/>
      <c r="O308" s="80"/>
      <c r="P308" s="80"/>
      <c r="Q308" s="80"/>
      <c r="R308" s="80"/>
      <c r="S308" s="80"/>
      <c r="T308" s="121"/>
      <c r="U308" s="122"/>
      <c r="V308" s="73"/>
    </row>
    <row r="309" spans="1:22">
      <c r="A309" s="63"/>
      <c r="B309" s="70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  <c r="S309" s="80"/>
      <c r="T309" s="121"/>
      <c r="U309" s="122"/>
      <c r="V309" s="73"/>
    </row>
    <row r="310" spans="1:22">
      <c r="A310" s="63"/>
      <c r="B310" s="70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  <c r="O310" s="80"/>
      <c r="P310" s="80"/>
      <c r="Q310" s="80"/>
      <c r="R310" s="80"/>
      <c r="S310" s="80"/>
      <c r="T310" s="121"/>
      <c r="U310" s="122"/>
      <c r="V310" s="73"/>
    </row>
    <row r="311" spans="1:22">
      <c r="A311" s="63"/>
      <c r="B311" s="70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0"/>
      <c r="N311" s="80"/>
      <c r="O311" s="80"/>
      <c r="P311" s="80"/>
      <c r="Q311" s="80"/>
      <c r="R311" s="80"/>
      <c r="S311" s="80"/>
      <c r="T311" s="121"/>
      <c r="U311" s="122"/>
      <c r="V311" s="73"/>
    </row>
    <row r="312" spans="1:22">
      <c r="A312" s="63"/>
      <c r="B312" s="70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121"/>
      <c r="U312" s="122"/>
      <c r="V312" s="73"/>
    </row>
    <row r="313" spans="1:22">
      <c r="A313" s="63"/>
      <c r="B313" s="70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121"/>
      <c r="U313" s="122"/>
      <c r="V313" s="73"/>
    </row>
    <row r="314" spans="1:22">
      <c r="A314" s="63"/>
      <c r="B314" s="70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121"/>
      <c r="U314" s="122"/>
      <c r="V314" s="73"/>
    </row>
    <row r="315" spans="1:22">
      <c r="A315" s="63"/>
      <c r="B315" s="70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80"/>
      <c r="R315" s="80"/>
      <c r="S315" s="80"/>
      <c r="T315" s="121"/>
      <c r="U315" s="122"/>
      <c r="V315" s="73"/>
    </row>
    <row r="316" spans="1:22">
      <c r="A316" s="63"/>
      <c r="B316" s="70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80"/>
      <c r="R316" s="80"/>
      <c r="S316" s="80"/>
      <c r="T316" s="121"/>
      <c r="U316" s="122"/>
      <c r="V316" s="73"/>
    </row>
    <row r="317" spans="1:22">
      <c r="A317" s="63"/>
      <c r="B317" s="70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  <c r="S317" s="80"/>
      <c r="T317" s="121"/>
      <c r="U317" s="122"/>
      <c r="V317" s="73"/>
    </row>
    <row r="318" spans="1:22">
      <c r="A318" s="63"/>
      <c r="B318" s="70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80"/>
      <c r="R318" s="80"/>
      <c r="S318" s="80"/>
      <c r="T318" s="121"/>
      <c r="U318" s="122"/>
      <c r="V318" s="73"/>
    </row>
    <row r="319" spans="1:22">
      <c r="A319" s="63"/>
      <c r="B319" s="70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80"/>
      <c r="R319" s="80"/>
      <c r="S319" s="80"/>
      <c r="T319" s="121"/>
      <c r="U319" s="122"/>
      <c r="V319" s="73"/>
    </row>
    <row r="320" spans="1:22">
      <c r="A320" s="63"/>
      <c r="B320" s="70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80"/>
      <c r="R320" s="80"/>
      <c r="S320" s="80"/>
      <c r="T320" s="121"/>
      <c r="U320" s="122"/>
      <c r="V320" s="73"/>
    </row>
    <row r="321" spans="1:22">
      <c r="A321" s="63"/>
      <c r="B321" s="70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80"/>
      <c r="R321" s="80"/>
      <c r="S321" s="80"/>
      <c r="T321" s="121"/>
      <c r="U321" s="122"/>
      <c r="V321" s="73"/>
    </row>
    <row r="322" spans="1:22">
      <c r="A322" s="63"/>
      <c r="B322" s="70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80"/>
      <c r="R322" s="80"/>
      <c r="S322" s="80"/>
      <c r="T322" s="121"/>
      <c r="U322" s="122"/>
      <c r="V322" s="73"/>
    </row>
    <row r="323" spans="1:22">
      <c r="A323" s="63"/>
      <c r="B323" s="70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  <c r="S323" s="80"/>
      <c r="T323" s="121"/>
      <c r="U323" s="122"/>
      <c r="V323" s="73"/>
    </row>
    <row r="324" spans="1:22">
      <c r="A324" s="63"/>
      <c r="B324" s="70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80"/>
      <c r="R324" s="80"/>
      <c r="S324" s="80"/>
      <c r="T324" s="121"/>
      <c r="U324" s="122"/>
      <c r="V324" s="73"/>
    </row>
    <row r="325" spans="1:22">
      <c r="A325" s="63"/>
      <c r="B325" s="70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80"/>
      <c r="R325" s="80"/>
      <c r="S325" s="80"/>
      <c r="T325" s="121"/>
      <c r="U325" s="122"/>
      <c r="V325" s="73"/>
    </row>
    <row r="326" spans="1:22">
      <c r="A326" s="63"/>
      <c r="B326" s="70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80"/>
      <c r="R326" s="80"/>
      <c r="S326" s="80"/>
      <c r="T326" s="121"/>
      <c r="U326" s="122"/>
      <c r="V326" s="73"/>
    </row>
    <row r="327" spans="1:22">
      <c r="A327" s="63"/>
      <c r="B327" s="7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  <c r="S327" s="80"/>
      <c r="T327" s="121"/>
      <c r="U327" s="122"/>
      <c r="V327" s="73"/>
    </row>
    <row r="328" spans="1:22">
      <c r="A328" s="63"/>
      <c r="B328" s="70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  <c r="R328" s="80"/>
      <c r="S328" s="80"/>
      <c r="T328" s="121"/>
      <c r="U328" s="122"/>
      <c r="V328" s="73"/>
    </row>
    <row r="329" spans="1:22">
      <c r="A329" s="63"/>
      <c r="B329" s="70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  <c r="R329" s="80"/>
      <c r="S329" s="80"/>
      <c r="T329" s="121"/>
      <c r="U329" s="122"/>
      <c r="V329" s="73"/>
    </row>
    <row r="330" spans="1:22">
      <c r="A330" s="63"/>
      <c r="B330" s="70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  <c r="R330" s="80"/>
      <c r="S330" s="80"/>
      <c r="T330" s="121"/>
      <c r="U330" s="122"/>
      <c r="V330" s="73"/>
    </row>
    <row r="331" spans="1:22">
      <c r="A331" s="63"/>
      <c r="B331" s="70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  <c r="R331" s="80"/>
      <c r="S331" s="80"/>
      <c r="T331" s="121"/>
      <c r="U331" s="122"/>
      <c r="V331" s="73"/>
    </row>
    <row r="332" spans="1:22">
      <c r="A332" s="63"/>
      <c r="B332" s="7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  <c r="S332" s="80"/>
      <c r="T332" s="121"/>
      <c r="U332" s="122"/>
      <c r="V332" s="73"/>
    </row>
    <row r="333" spans="1:22">
      <c r="A333" s="63"/>
      <c r="B333" s="7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  <c r="S333" s="80"/>
      <c r="T333" s="121"/>
      <c r="U333" s="122"/>
      <c r="V333" s="73"/>
    </row>
    <row r="334" spans="1:22">
      <c r="A334" s="63"/>
      <c r="B334" s="70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80"/>
      <c r="R334" s="80"/>
      <c r="S334" s="80"/>
      <c r="T334" s="121"/>
      <c r="U334" s="122"/>
      <c r="V334" s="73"/>
    </row>
    <row r="335" spans="1:22">
      <c r="A335" s="63"/>
      <c r="B335" s="70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  <c r="S335" s="80"/>
      <c r="T335" s="121"/>
      <c r="U335" s="122"/>
      <c r="V335" s="73"/>
    </row>
    <row r="336" spans="1:22">
      <c r="A336" s="63"/>
      <c r="B336" s="70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80"/>
      <c r="Q336" s="80"/>
      <c r="R336" s="80"/>
      <c r="S336" s="80"/>
      <c r="T336" s="121"/>
      <c r="U336" s="122"/>
      <c r="V336" s="73"/>
    </row>
    <row r="337" spans="1:22">
      <c r="A337" s="63"/>
      <c r="B337" s="70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0"/>
      <c r="N337" s="80"/>
      <c r="O337" s="80"/>
      <c r="P337" s="80"/>
      <c r="Q337" s="80"/>
      <c r="R337" s="80"/>
      <c r="S337" s="80"/>
      <c r="T337" s="121"/>
      <c r="U337" s="122"/>
      <c r="V337" s="73"/>
    </row>
    <row r="338" spans="1:22">
      <c r="A338" s="63"/>
      <c r="B338" s="70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0"/>
      <c r="N338" s="80"/>
      <c r="O338" s="80"/>
      <c r="P338" s="80"/>
      <c r="Q338" s="80"/>
      <c r="R338" s="80"/>
      <c r="S338" s="80"/>
      <c r="T338" s="121"/>
      <c r="U338" s="122"/>
      <c r="V338" s="73"/>
    </row>
    <row r="339" spans="1:22">
      <c r="A339" s="63"/>
      <c r="B339" s="70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0"/>
      <c r="N339" s="80"/>
      <c r="O339" s="80"/>
      <c r="P339" s="80"/>
      <c r="Q339" s="80"/>
      <c r="R339" s="80"/>
      <c r="S339" s="80"/>
      <c r="T339" s="121"/>
      <c r="U339" s="122"/>
      <c r="V339" s="73"/>
    </row>
    <row r="340" spans="1:22">
      <c r="A340" s="63"/>
      <c r="B340" s="70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0"/>
      <c r="N340" s="80"/>
      <c r="O340" s="80"/>
      <c r="P340" s="80"/>
      <c r="Q340" s="80"/>
      <c r="R340" s="80"/>
      <c r="S340" s="80"/>
      <c r="T340" s="121"/>
      <c r="U340" s="122"/>
      <c r="V340" s="73"/>
    </row>
    <row r="341" spans="1:22">
      <c r="A341" s="63"/>
      <c r="B341" s="70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  <c r="S341" s="80"/>
      <c r="T341" s="121"/>
      <c r="U341" s="122"/>
      <c r="V341" s="73"/>
    </row>
    <row r="342" spans="1:22">
      <c r="A342" s="63"/>
      <c r="B342" s="70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  <c r="S342" s="80"/>
      <c r="T342" s="121"/>
      <c r="U342" s="122"/>
      <c r="V342" s="73"/>
    </row>
    <row r="343" spans="1:22">
      <c r="A343" s="63"/>
      <c r="B343" s="70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  <c r="S343" s="80"/>
      <c r="T343" s="121"/>
      <c r="U343" s="122"/>
      <c r="V343" s="73"/>
    </row>
    <row r="344" spans="1:22">
      <c r="A344" s="63"/>
      <c r="B344" s="70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80"/>
      <c r="T344" s="121"/>
      <c r="U344" s="122"/>
      <c r="V344" s="73"/>
    </row>
    <row r="345" spans="1:22">
      <c r="A345" s="63"/>
      <c r="B345" s="70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  <c r="S345" s="80"/>
      <c r="T345" s="121"/>
      <c r="U345" s="122"/>
      <c r="V345" s="73"/>
    </row>
    <row r="346" spans="1:22">
      <c r="A346" s="63"/>
      <c r="B346" s="70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  <c r="S346" s="80"/>
      <c r="T346" s="121"/>
      <c r="U346" s="122"/>
      <c r="V346" s="73"/>
    </row>
    <row r="347" spans="1:22">
      <c r="A347" s="63"/>
      <c r="B347" s="70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  <c r="S347" s="80"/>
      <c r="T347" s="121"/>
      <c r="U347" s="122"/>
      <c r="V347" s="73"/>
    </row>
    <row r="348" spans="1:22">
      <c r="A348" s="63"/>
      <c r="B348" s="7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121"/>
      <c r="U348" s="122"/>
      <c r="V348" s="73"/>
    </row>
    <row r="349" spans="1:22">
      <c r="A349" s="63"/>
      <c r="B349" s="70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80"/>
      <c r="T349" s="121"/>
      <c r="U349" s="122"/>
      <c r="V349" s="73"/>
    </row>
    <row r="350" spans="1:22">
      <c r="A350" s="63"/>
      <c r="B350" s="70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  <c r="S350" s="80"/>
      <c r="T350" s="121"/>
      <c r="U350" s="122"/>
      <c r="V350" s="73"/>
    </row>
    <row r="351" spans="1:22">
      <c r="A351" s="63"/>
      <c r="B351" s="70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  <c r="S351" s="80"/>
      <c r="T351" s="121"/>
      <c r="U351" s="122"/>
      <c r="V351" s="73"/>
    </row>
    <row r="352" spans="1:22">
      <c r="A352" s="63"/>
      <c r="B352" s="70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  <c r="S352" s="80"/>
      <c r="T352" s="121"/>
      <c r="U352" s="122"/>
      <c r="V352" s="73"/>
    </row>
    <row r="353" spans="1:22">
      <c r="A353" s="63"/>
      <c r="B353" s="70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  <c r="S353" s="80"/>
      <c r="T353" s="121"/>
      <c r="U353" s="122"/>
      <c r="V353" s="73"/>
    </row>
    <row r="354" spans="1:22">
      <c r="A354" s="63"/>
      <c r="B354" s="70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  <c r="S354" s="80"/>
      <c r="T354" s="121"/>
      <c r="U354" s="122"/>
      <c r="V354" s="73"/>
    </row>
    <row r="355" spans="1:22">
      <c r="A355" s="63"/>
      <c r="B355" s="70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  <c r="S355" s="80"/>
      <c r="T355" s="121"/>
      <c r="U355" s="122"/>
      <c r="V355" s="73"/>
    </row>
    <row r="356" spans="1:22">
      <c r="A356" s="63"/>
      <c r="B356" s="70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80"/>
      <c r="T356" s="121"/>
      <c r="U356" s="122"/>
      <c r="V356" s="73"/>
    </row>
    <row r="357" spans="1:22">
      <c r="A357" s="63"/>
      <c r="B357" s="70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  <c r="S357" s="80"/>
      <c r="T357" s="121"/>
      <c r="U357" s="122"/>
      <c r="V357" s="73"/>
    </row>
    <row r="358" spans="1:22">
      <c r="A358" s="63"/>
      <c r="B358" s="70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  <c r="S358" s="80"/>
      <c r="T358" s="121"/>
      <c r="U358" s="122"/>
      <c r="V358" s="73"/>
    </row>
    <row r="359" spans="1:22">
      <c r="A359" s="63"/>
      <c r="B359" s="70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  <c r="S359" s="80"/>
      <c r="T359" s="121"/>
      <c r="U359" s="122"/>
      <c r="V359" s="73"/>
    </row>
    <row r="360" spans="1:22">
      <c r="A360" s="63"/>
      <c r="B360" s="70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80"/>
      <c r="T360" s="121"/>
      <c r="U360" s="122"/>
      <c r="V360" s="73"/>
    </row>
    <row r="361" spans="1:22">
      <c r="A361" s="63"/>
      <c r="B361" s="70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  <c r="S361" s="80"/>
      <c r="T361" s="121"/>
      <c r="U361" s="122"/>
      <c r="V361" s="73"/>
    </row>
    <row r="362" spans="1:22">
      <c r="A362" s="63"/>
      <c r="B362" s="70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  <c r="S362" s="80"/>
      <c r="T362" s="121"/>
      <c r="U362" s="122"/>
      <c r="V362" s="73"/>
    </row>
    <row r="363" spans="1:22">
      <c r="A363" s="63"/>
      <c r="B363" s="70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  <c r="S363" s="80"/>
      <c r="T363" s="121"/>
      <c r="U363" s="122"/>
      <c r="V363" s="73"/>
    </row>
    <row r="364" spans="1:22">
      <c r="A364" s="63"/>
      <c r="B364" s="70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  <c r="S364" s="80"/>
      <c r="T364" s="121"/>
      <c r="U364" s="122"/>
      <c r="V364" s="73"/>
    </row>
    <row r="365" spans="1:22">
      <c r="A365" s="63"/>
      <c r="B365" s="70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80"/>
      <c r="T365" s="121"/>
      <c r="U365" s="122"/>
      <c r="V365" s="73"/>
    </row>
    <row r="366" spans="1:22">
      <c r="A366" s="63"/>
      <c r="B366" s="70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  <c r="S366" s="80"/>
      <c r="T366" s="121"/>
      <c r="U366" s="122"/>
      <c r="V366" s="73"/>
    </row>
    <row r="367" spans="1:22">
      <c r="A367" s="63"/>
      <c r="B367" s="70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0"/>
      <c r="S367" s="80"/>
      <c r="T367" s="121"/>
      <c r="U367" s="122"/>
      <c r="V367" s="73"/>
    </row>
    <row r="368" spans="1:22">
      <c r="A368" s="63"/>
      <c r="B368" s="70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  <c r="S368" s="80"/>
      <c r="T368" s="121"/>
      <c r="U368" s="122"/>
      <c r="V368" s="73"/>
    </row>
    <row r="369" spans="1:22">
      <c r="A369" s="63"/>
      <c r="B369" s="70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80"/>
      <c r="R369" s="80"/>
      <c r="S369" s="80"/>
      <c r="T369" s="121"/>
      <c r="U369" s="122"/>
      <c r="V369" s="73"/>
    </row>
    <row r="370" spans="1:22">
      <c r="A370" s="63"/>
      <c r="B370" s="70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80"/>
      <c r="R370" s="80"/>
      <c r="S370" s="80"/>
      <c r="T370" s="121"/>
      <c r="U370" s="122"/>
      <c r="V370" s="73"/>
    </row>
    <row r="371" spans="1:22">
      <c r="A371" s="63"/>
      <c r="B371" s="70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80"/>
      <c r="R371" s="80"/>
      <c r="S371" s="80"/>
      <c r="T371" s="121"/>
      <c r="U371" s="122"/>
      <c r="V371" s="73"/>
    </row>
    <row r="372" spans="1:22">
      <c r="A372" s="63"/>
      <c r="B372" s="70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80"/>
      <c r="R372" s="80"/>
      <c r="S372" s="80"/>
      <c r="T372" s="121"/>
      <c r="U372" s="122"/>
      <c r="V372" s="73"/>
    </row>
    <row r="373" spans="1:22">
      <c r="A373" s="63"/>
      <c r="B373" s="70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80"/>
      <c r="R373" s="80"/>
      <c r="S373" s="80"/>
      <c r="T373" s="121"/>
      <c r="U373" s="122"/>
      <c r="V373" s="73"/>
    </row>
    <row r="374" spans="1:22">
      <c r="A374" s="63"/>
      <c r="B374" s="70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80"/>
      <c r="R374" s="80"/>
      <c r="S374" s="80"/>
      <c r="T374" s="121"/>
      <c r="U374" s="122"/>
      <c r="V374" s="73"/>
    </row>
    <row r="375" spans="1:22">
      <c r="A375" s="63"/>
      <c r="B375" s="70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0"/>
      <c r="N375" s="80"/>
      <c r="O375" s="80"/>
      <c r="P375" s="80"/>
      <c r="Q375" s="80"/>
      <c r="R375" s="80"/>
      <c r="S375" s="80"/>
      <c r="T375" s="121"/>
      <c r="U375" s="122"/>
      <c r="V375" s="73"/>
    </row>
    <row r="376" spans="1:22">
      <c r="A376" s="63"/>
      <c r="B376" s="70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0"/>
      <c r="N376" s="80"/>
      <c r="O376" s="80"/>
      <c r="P376" s="80"/>
      <c r="Q376" s="80"/>
      <c r="R376" s="80"/>
      <c r="S376" s="80"/>
      <c r="T376" s="121"/>
      <c r="U376" s="122"/>
      <c r="V376" s="73"/>
    </row>
    <row r="377" spans="1:22">
      <c r="A377" s="63"/>
      <c r="B377" s="70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0"/>
      <c r="N377" s="80"/>
      <c r="O377" s="80"/>
      <c r="P377" s="80"/>
      <c r="Q377" s="80"/>
      <c r="R377" s="80"/>
      <c r="S377" s="80"/>
      <c r="T377" s="121"/>
      <c r="U377" s="122"/>
      <c r="V377" s="73"/>
    </row>
    <row r="378" spans="1:22">
      <c r="A378" s="63"/>
      <c r="B378" s="70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0"/>
      <c r="N378" s="80"/>
      <c r="O378" s="80"/>
      <c r="P378" s="80"/>
      <c r="Q378" s="80"/>
      <c r="R378" s="80"/>
      <c r="S378" s="80"/>
      <c r="T378" s="121"/>
      <c r="U378" s="122"/>
      <c r="V378" s="73"/>
    </row>
    <row r="379" spans="1:22">
      <c r="A379" s="63"/>
      <c r="B379" s="70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0"/>
      <c r="N379" s="80"/>
      <c r="O379" s="80"/>
      <c r="P379" s="80"/>
      <c r="Q379" s="80"/>
      <c r="R379" s="80"/>
      <c r="S379" s="80"/>
      <c r="T379" s="121"/>
      <c r="U379" s="122"/>
      <c r="V379" s="73"/>
    </row>
    <row r="380" spans="1:22">
      <c r="A380" s="63"/>
      <c r="B380" s="70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  <c r="N380" s="80"/>
      <c r="O380" s="80"/>
      <c r="P380" s="80"/>
      <c r="Q380" s="80"/>
      <c r="R380" s="80"/>
      <c r="S380" s="80"/>
      <c r="T380" s="121"/>
      <c r="U380" s="122"/>
      <c r="V380" s="73"/>
    </row>
    <row r="381" spans="1:22">
      <c r="A381" s="63"/>
      <c r="B381" s="70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0"/>
      <c r="N381" s="80"/>
      <c r="O381" s="80"/>
      <c r="P381" s="80"/>
      <c r="Q381" s="80"/>
      <c r="R381" s="80"/>
      <c r="S381" s="80"/>
      <c r="T381" s="121"/>
      <c r="U381" s="122"/>
      <c r="V381" s="73"/>
    </row>
    <row r="382" spans="1:22">
      <c r="A382" s="63"/>
      <c r="B382" s="70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0"/>
      <c r="N382" s="80"/>
      <c r="O382" s="80"/>
      <c r="P382" s="80"/>
      <c r="Q382" s="80"/>
      <c r="R382" s="80"/>
      <c r="S382" s="80"/>
      <c r="T382" s="121"/>
      <c r="U382" s="122"/>
      <c r="V382" s="73"/>
    </row>
    <row r="383" spans="1:22">
      <c r="A383" s="63"/>
      <c r="B383" s="70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80"/>
      <c r="R383" s="80"/>
      <c r="S383" s="80"/>
      <c r="T383" s="121"/>
      <c r="U383" s="122"/>
      <c r="V383" s="73"/>
    </row>
    <row r="384" spans="1:22">
      <c r="A384" s="63"/>
      <c r="B384" s="70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80"/>
      <c r="R384" s="80"/>
      <c r="S384" s="80"/>
      <c r="T384" s="121"/>
      <c r="U384" s="122"/>
      <c r="V384" s="73"/>
    </row>
    <row r="385" spans="1:22">
      <c r="A385" s="63"/>
      <c r="B385" s="70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0"/>
      <c r="N385" s="80"/>
      <c r="O385" s="80"/>
      <c r="P385" s="80"/>
      <c r="Q385" s="80"/>
      <c r="R385" s="80"/>
      <c r="S385" s="80"/>
      <c r="T385" s="121"/>
      <c r="U385" s="122"/>
      <c r="V385" s="73"/>
    </row>
    <row r="386" spans="1:22">
      <c r="A386" s="63"/>
      <c r="B386" s="70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0"/>
      <c r="N386" s="80"/>
      <c r="O386" s="80"/>
      <c r="P386" s="80"/>
      <c r="Q386" s="80"/>
      <c r="R386" s="80"/>
      <c r="S386" s="80"/>
      <c r="T386" s="121"/>
      <c r="U386" s="122"/>
      <c r="V386" s="73"/>
    </row>
    <row r="387" spans="1:22">
      <c r="A387" s="63"/>
      <c r="B387" s="70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0"/>
      <c r="S387" s="80"/>
      <c r="T387" s="121"/>
      <c r="U387" s="122"/>
      <c r="V387" s="73"/>
    </row>
    <row r="388" spans="1:22">
      <c r="A388" s="63"/>
      <c r="B388" s="70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  <c r="S388" s="80"/>
      <c r="T388" s="121"/>
      <c r="U388" s="122"/>
      <c r="V388" s="73"/>
    </row>
    <row r="389" spans="1:22">
      <c r="A389" s="63"/>
      <c r="B389" s="7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  <c r="S389" s="80"/>
      <c r="T389" s="121"/>
      <c r="U389" s="122"/>
      <c r="V389" s="73"/>
    </row>
    <row r="390" spans="1:22">
      <c r="A390" s="63"/>
      <c r="B390" s="7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121"/>
      <c r="U390" s="122"/>
      <c r="V390" s="73"/>
    </row>
    <row r="391" spans="1:22">
      <c r="A391" s="63"/>
      <c r="B391" s="7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121"/>
      <c r="U391" s="122"/>
      <c r="V391" s="73"/>
    </row>
    <row r="392" spans="1:22">
      <c r="A392" s="63"/>
      <c r="B392" s="7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121"/>
      <c r="U392" s="122"/>
      <c r="V392" s="73"/>
    </row>
    <row r="393" spans="1:22">
      <c r="A393" s="63"/>
      <c r="B393" s="7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121"/>
      <c r="U393" s="122"/>
      <c r="V393" s="73"/>
    </row>
    <row r="394" spans="1:22">
      <c r="A394" s="63"/>
      <c r="B394" s="7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121"/>
      <c r="U394" s="122"/>
      <c r="V394" s="73"/>
    </row>
    <row r="395" spans="1:22">
      <c r="A395" s="63"/>
      <c r="B395" s="7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121"/>
      <c r="U395" s="122"/>
      <c r="V395" s="73"/>
    </row>
    <row r="396" spans="1:22">
      <c r="A396" s="63"/>
      <c r="B396" s="7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121"/>
      <c r="U396" s="122"/>
      <c r="V396" s="73"/>
    </row>
    <row r="397" spans="1:22">
      <c r="A397" s="63"/>
      <c r="B397" s="7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121"/>
      <c r="U397" s="122"/>
      <c r="V397" s="73"/>
    </row>
    <row r="398" spans="1:22">
      <c r="A398" s="63"/>
      <c r="B398" s="7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121"/>
      <c r="U398" s="122"/>
      <c r="V398" s="73"/>
    </row>
    <row r="399" spans="1:22">
      <c r="A399" s="63"/>
      <c r="B399" s="7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121"/>
      <c r="U399" s="122"/>
      <c r="V399" s="73"/>
    </row>
    <row r="400" spans="1:22">
      <c r="A400" s="63"/>
      <c r="B400" s="7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121"/>
      <c r="U400" s="122"/>
      <c r="V400" s="73"/>
    </row>
    <row r="401" spans="1:22">
      <c r="A401" s="63"/>
      <c r="B401" s="7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121"/>
      <c r="U401" s="122"/>
      <c r="V401" s="73"/>
    </row>
    <row r="402" spans="1:22">
      <c r="A402" s="63"/>
      <c r="B402" s="7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121"/>
      <c r="U402" s="122"/>
      <c r="V402" s="73"/>
    </row>
    <row r="403" spans="1:22">
      <c r="A403" s="63"/>
      <c r="B403" s="7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121"/>
      <c r="U403" s="122"/>
      <c r="V403" s="73"/>
    </row>
    <row r="404" spans="1:22">
      <c r="A404" s="63"/>
      <c r="B404" s="7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121"/>
      <c r="U404" s="122"/>
      <c r="V404" s="73"/>
    </row>
    <row r="405" spans="1:22">
      <c r="A405" s="63"/>
      <c r="B405" s="7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121"/>
      <c r="U405" s="122"/>
      <c r="V405" s="73"/>
    </row>
    <row r="406" spans="1:22">
      <c r="A406" s="63"/>
      <c r="B406" s="7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121"/>
      <c r="U406" s="122"/>
      <c r="V406" s="73"/>
    </row>
    <row r="407" spans="1:22">
      <c r="A407" s="63"/>
      <c r="B407" s="7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121"/>
      <c r="U407" s="122"/>
      <c r="V407" s="73"/>
    </row>
    <row r="408" spans="1:22">
      <c r="A408" s="63"/>
      <c r="B408" s="7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121"/>
      <c r="U408" s="122"/>
      <c r="V408" s="73"/>
    </row>
    <row r="409" spans="1:22">
      <c r="A409" s="63"/>
      <c r="B409" s="7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121"/>
      <c r="U409" s="122"/>
      <c r="V409" s="73"/>
    </row>
    <row r="410" spans="1:22">
      <c r="A410" s="63"/>
      <c r="B410" s="7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121"/>
      <c r="U410" s="122"/>
      <c r="V410" s="73"/>
    </row>
    <row r="411" spans="1:22">
      <c r="A411" s="63"/>
      <c r="B411" s="7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121"/>
      <c r="U411" s="122"/>
      <c r="V411" s="73"/>
    </row>
    <row r="412" spans="1:22">
      <c r="A412" s="63"/>
      <c r="B412" s="7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121"/>
      <c r="U412" s="122"/>
      <c r="V412" s="73"/>
    </row>
    <row r="413" spans="1:22">
      <c r="A413" s="63"/>
      <c r="B413" s="7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121"/>
      <c r="U413" s="122"/>
      <c r="V413" s="73"/>
    </row>
    <row r="414" spans="1:22">
      <c r="A414" s="63"/>
      <c r="B414" s="7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121"/>
      <c r="U414" s="122"/>
      <c r="V414" s="73"/>
    </row>
    <row r="415" spans="1:22">
      <c r="A415" s="63"/>
      <c r="B415" s="7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121"/>
      <c r="U415" s="122"/>
      <c r="V415" s="73"/>
    </row>
    <row r="416" spans="1:22">
      <c r="A416" s="63"/>
      <c r="B416" s="7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121"/>
      <c r="U416" s="122"/>
      <c r="V416" s="73"/>
    </row>
    <row r="417" spans="1:22">
      <c r="A417" s="63"/>
      <c r="B417" s="7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121"/>
      <c r="U417" s="122"/>
      <c r="V417" s="73"/>
    </row>
    <row r="418" spans="1:22">
      <c r="A418" s="63"/>
      <c r="B418" s="7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121"/>
      <c r="U418" s="122"/>
      <c r="V418" s="73"/>
    </row>
    <row r="419" spans="1:22">
      <c r="A419" s="63"/>
      <c r="B419" s="7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121"/>
      <c r="U419" s="122"/>
      <c r="V419" s="73"/>
    </row>
    <row r="420" spans="1:22">
      <c r="A420" s="63"/>
      <c r="B420" s="7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121"/>
      <c r="U420" s="122"/>
      <c r="V420" s="73"/>
    </row>
    <row r="421" spans="1:22">
      <c r="A421" s="63"/>
      <c r="B421" s="7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121"/>
      <c r="U421" s="122"/>
      <c r="V421" s="73"/>
    </row>
    <row r="422" spans="1:22">
      <c r="A422" s="63"/>
      <c r="B422" s="7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121"/>
      <c r="U422" s="122"/>
      <c r="V422" s="73"/>
    </row>
    <row r="423" spans="1:22">
      <c r="A423" s="63"/>
      <c r="B423" s="7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121"/>
      <c r="U423" s="122"/>
      <c r="V423" s="73"/>
    </row>
    <row r="424" spans="1:22">
      <c r="A424" s="63"/>
      <c r="B424" s="7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121"/>
      <c r="U424" s="122"/>
      <c r="V424" s="73"/>
    </row>
    <row r="425" spans="1:22">
      <c r="A425" s="63"/>
      <c r="B425" s="7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121"/>
      <c r="U425" s="122"/>
      <c r="V425" s="73"/>
    </row>
    <row r="426" spans="1:22">
      <c r="A426" s="63"/>
      <c r="B426" s="7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121"/>
      <c r="U426" s="122"/>
      <c r="V426" s="73"/>
    </row>
    <row r="427" spans="1:22">
      <c r="A427" s="63"/>
      <c r="B427" s="7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121"/>
      <c r="U427" s="122"/>
      <c r="V427" s="73"/>
    </row>
    <row r="428" spans="1:22">
      <c r="A428" s="63"/>
      <c r="B428" s="7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121"/>
      <c r="U428" s="122"/>
      <c r="V428" s="73"/>
    </row>
    <row r="429" spans="1:22">
      <c r="A429" s="63"/>
      <c r="B429" s="7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121"/>
      <c r="U429" s="122"/>
      <c r="V429" s="73"/>
    </row>
    <row r="430" spans="1:22">
      <c r="A430" s="63"/>
      <c r="B430" s="7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121"/>
      <c r="U430" s="122"/>
      <c r="V430" s="73"/>
    </row>
    <row r="431" spans="1:22">
      <c r="A431" s="63"/>
      <c r="B431" s="7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121"/>
      <c r="U431" s="122"/>
      <c r="V431" s="73"/>
    </row>
    <row r="432" spans="1:22">
      <c r="A432" s="63"/>
      <c r="B432" s="7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121"/>
      <c r="U432" s="122"/>
      <c r="V432" s="73"/>
    </row>
    <row r="433" spans="1:22">
      <c r="A433" s="63"/>
      <c r="B433" s="7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121"/>
      <c r="U433" s="122"/>
      <c r="V433" s="73"/>
    </row>
    <row r="434" spans="1:22">
      <c r="A434" s="63"/>
      <c r="B434" s="7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121"/>
      <c r="U434" s="122"/>
      <c r="V434" s="73"/>
    </row>
    <row r="435" spans="1:22">
      <c r="A435" s="63"/>
      <c r="B435" s="7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121"/>
      <c r="U435" s="122"/>
      <c r="V435" s="73"/>
    </row>
    <row r="436" spans="1:22">
      <c r="A436" s="63"/>
      <c r="B436" s="7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121"/>
      <c r="U436" s="122"/>
      <c r="V436" s="73"/>
    </row>
    <row r="437" spans="1:22">
      <c r="A437" s="63"/>
      <c r="B437" s="7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121"/>
      <c r="U437" s="122"/>
      <c r="V437" s="73"/>
    </row>
    <row r="438" spans="1:22">
      <c r="A438" s="63"/>
      <c r="B438" s="7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121"/>
      <c r="U438" s="122"/>
      <c r="V438" s="73"/>
    </row>
    <row r="439" spans="1:22">
      <c r="A439" s="63"/>
      <c r="B439" s="7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121"/>
      <c r="U439" s="122"/>
      <c r="V439" s="73"/>
    </row>
    <row r="440" spans="1:22">
      <c r="A440" s="63"/>
      <c r="B440" s="7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121"/>
      <c r="U440" s="122"/>
      <c r="V440" s="73"/>
    </row>
    <row r="441" spans="1:22">
      <c r="A441" s="63"/>
      <c r="B441" s="7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121"/>
      <c r="U441" s="122"/>
      <c r="V441" s="73"/>
    </row>
    <row r="442" spans="1:22">
      <c r="A442" s="63"/>
      <c r="B442" s="7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121"/>
      <c r="U442" s="122"/>
      <c r="V442" s="73"/>
    </row>
    <row r="443" spans="1:22">
      <c r="A443" s="63"/>
      <c r="B443" s="7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121"/>
      <c r="U443" s="122"/>
      <c r="V443" s="73"/>
    </row>
    <row r="444" spans="1:22">
      <c r="A444" s="63"/>
      <c r="B444" s="7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121"/>
      <c r="U444" s="122"/>
      <c r="V444" s="73"/>
    </row>
    <row r="445" spans="1:22">
      <c r="A445" s="63"/>
      <c r="B445" s="7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121"/>
      <c r="U445" s="122"/>
      <c r="V445" s="73"/>
    </row>
    <row r="446" spans="1:22">
      <c r="A446" s="63"/>
      <c r="B446" s="7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121"/>
      <c r="U446" s="122"/>
      <c r="V446" s="73"/>
    </row>
    <row r="447" spans="1:22">
      <c r="A447" s="63"/>
      <c r="B447" s="7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121"/>
      <c r="U447" s="122"/>
      <c r="V447" s="73"/>
    </row>
    <row r="448" spans="1:22">
      <c r="A448" s="63"/>
      <c r="B448" s="7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121"/>
      <c r="U448" s="122"/>
      <c r="V448" s="73"/>
    </row>
    <row r="449" spans="1:22">
      <c r="A449" s="63"/>
      <c r="B449" s="7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121"/>
      <c r="U449" s="122"/>
      <c r="V449" s="73"/>
    </row>
    <row r="450" spans="1:22">
      <c r="A450" s="63"/>
      <c r="B450" s="7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121"/>
      <c r="U450" s="122"/>
      <c r="V450" s="73"/>
    </row>
    <row r="451" spans="1:22">
      <c r="A451" s="63"/>
      <c r="B451" s="7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121"/>
      <c r="U451" s="122"/>
      <c r="V451" s="73"/>
    </row>
    <row r="452" spans="1:22">
      <c r="A452" s="63"/>
      <c r="B452" s="7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121"/>
      <c r="U452" s="122"/>
      <c r="V452" s="73"/>
    </row>
    <row r="453" spans="1:22">
      <c r="A453" s="63"/>
      <c r="B453" s="7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121"/>
      <c r="U453" s="122"/>
      <c r="V453" s="73"/>
    </row>
    <row r="454" spans="1:22">
      <c r="A454" s="63"/>
      <c r="B454" s="7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121"/>
      <c r="U454" s="122"/>
      <c r="V454" s="73"/>
    </row>
    <row r="455" spans="1:22">
      <c r="A455" s="63"/>
      <c r="B455" s="7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121"/>
      <c r="U455" s="122"/>
      <c r="V455" s="73"/>
    </row>
    <row r="456" spans="1:22">
      <c r="A456" s="63"/>
      <c r="B456" s="7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121"/>
      <c r="U456" s="122"/>
      <c r="V456" s="73"/>
    </row>
    <row r="457" spans="1:22">
      <c r="A457" s="63"/>
      <c r="B457" s="7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121"/>
      <c r="U457" s="122"/>
      <c r="V457" s="73"/>
    </row>
    <row r="458" spans="1:22">
      <c r="A458" s="63"/>
      <c r="B458" s="7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121"/>
      <c r="U458" s="122"/>
      <c r="V458" s="73"/>
    </row>
    <row r="459" spans="1:22">
      <c r="A459" s="63"/>
      <c r="B459" s="7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121"/>
      <c r="U459" s="122"/>
      <c r="V459" s="73"/>
    </row>
    <row r="460" spans="1:22">
      <c r="A460" s="63"/>
      <c r="B460" s="7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121"/>
      <c r="U460" s="122"/>
      <c r="V460" s="73"/>
    </row>
    <row r="461" spans="1:22">
      <c r="A461" s="63"/>
      <c r="B461" s="7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121"/>
      <c r="U461" s="122"/>
      <c r="V461" s="73"/>
    </row>
    <row r="462" spans="1:22">
      <c r="A462" s="63"/>
      <c r="B462" s="7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121"/>
      <c r="U462" s="122"/>
      <c r="V462" s="73"/>
    </row>
    <row r="463" spans="1:22">
      <c r="A463" s="63"/>
      <c r="B463" s="7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121"/>
      <c r="U463" s="122"/>
      <c r="V463" s="73"/>
    </row>
    <row r="464" spans="1:22">
      <c r="A464" s="63"/>
      <c r="B464" s="7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121"/>
      <c r="U464" s="122"/>
      <c r="V464" s="73"/>
    </row>
    <row r="465" spans="1:22">
      <c r="A465" s="63"/>
      <c r="B465" s="7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121"/>
      <c r="U465" s="122"/>
      <c r="V465" s="73"/>
    </row>
    <row r="466" spans="1:22">
      <c r="A466" s="63"/>
      <c r="B466" s="7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121"/>
      <c r="U466" s="122"/>
      <c r="V466" s="73"/>
    </row>
    <row r="467" spans="1:22">
      <c r="A467" s="63"/>
      <c r="B467" s="7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121"/>
      <c r="U467" s="122"/>
      <c r="V467" s="73"/>
    </row>
    <row r="468" spans="1:22">
      <c r="A468" s="63"/>
      <c r="B468" s="7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121"/>
      <c r="U468" s="122"/>
      <c r="V468" s="73"/>
    </row>
    <row r="469" spans="1:22">
      <c r="A469" s="63"/>
      <c r="B469" s="7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121"/>
      <c r="U469" s="122"/>
      <c r="V469" s="73"/>
    </row>
    <row r="470" spans="1:22">
      <c r="A470" s="63"/>
      <c r="B470" s="7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121"/>
      <c r="U470" s="122"/>
      <c r="V470" s="73"/>
    </row>
    <row r="471" spans="1:22">
      <c r="A471" s="63"/>
      <c r="B471" s="7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121"/>
      <c r="U471" s="122"/>
      <c r="V471" s="73"/>
    </row>
    <row r="472" spans="1:22">
      <c r="A472" s="63"/>
      <c r="B472" s="7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121"/>
      <c r="U472" s="122"/>
      <c r="V472" s="73"/>
    </row>
    <row r="473" spans="1:22">
      <c r="A473" s="63"/>
      <c r="B473" s="7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121"/>
      <c r="U473" s="122"/>
      <c r="V473" s="73"/>
    </row>
    <row r="474" spans="1:22">
      <c r="A474" s="63"/>
      <c r="B474" s="7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121"/>
      <c r="U474" s="122"/>
      <c r="V474" s="73"/>
    </row>
    <row r="475" spans="1:22">
      <c r="A475" s="63"/>
      <c r="B475" s="7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121"/>
      <c r="U475" s="122"/>
      <c r="V475" s="73"/>
    </row>
    <row r="476" spans="1:22">
      <c r="A476" s="63"/>
      <c r="B476" s="7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121"/>
      <c r="U476" s="122"/>
      <c r="V476" s="73"/>
    </row>
    <row r="477" spans="1:22">
      <c r="A477" s="63"/>
      <c r="B477" s="7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121"/>
      <c r="U477" s="122"/>
      <c r="V477" s="73"/>
    </row>
    <row r="478" spans="1:22">
      <c r="A478" s="63"/>
      <c r="B478" s="7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121"/>
      <c r="U478" s="122"/>
      <c r="V478" s="73"/>
    </row>
    <row r="479" spans="1:22">
      <c r="A479" s="63"/>
      <c r="B479" s="7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121"/>
      <c r="U479" s="122"/>
      <c r="V479" s="73"/>
    </row>
    <row r="480" spans="1:22">
      <c r="A480" s="63"/>
      <c r="B480" s="7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121"/>
      <c r="U480" s="122"/>
      <c r="V480" s="73"/>
    </row>
    <row r="481" spans="1:22">
      <c r="A481" s="63"/>
      <c r="B481" s="7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121"/>
      <c r="U481" s="122"/>
      <c r="V481" s="73"/>
    </row>
    <row r="482" spans="1:22">
      <c r="A482" s="63"/>
      <c r="B482" s="7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121"/>
      <c r="U482" s="122"/>
      <c r="V482" s="73"/>
    </row>
    <row r="483" spans="1:22">
      <c r="A483" s="63"/>
      <c r="B483" s="7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121"/>
      <c r="U483" s="122"/>
      <c r="V483" s="73"/>
    </row>
    <row r="484" spans="1:22">
      <c r="A484" s="63"/>
      <c r="B484" s="7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121"/>
      <c r="U484" s="122"/>
      <c r="V484" s="73"/>
    </row>
    <row r="485" spans="1:22">
      <c r="A485" s="63"/>
      <c r="B485" s="7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121"/>
      <c r="U485" s="122"/>
      <c r="V485" s="73"/>
    </row>
    <row r="486" spans="1:22">
      <c r="A486" s="63"/>
      <c r="B486" s="7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121"/>
      <c r="U486" s="122"/>
      <c r="V486" s="73"/>
    </row>
    <row r="487" spans="1:22">
      <c r="A487" s="63"/>
      <c r="B487" s="7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121"/>
      <c r="U487" s="122"/>
      <c r="V487" s="73"/>
    </row>
    <row r="488" spans="1:22">
      <c r="A488" s="63"/>
      <c r="B488" s="7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121"/>
      <c r="U488" s="122"/>
      <c r="V488" s="73"/>
    </row>
    <row r="489" spans="1:22">
      <c r="A489" s="63"/>
      <c r="B489" s="7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121"/>
      <c r="U489" s="122"/>
      <c r="V489" s="73"/>
    </row>
    <row r="490" spans="1:22">
      <c r="A490" s="63"/>
      <c r="B490" s="7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121"/>
      <c r="U490" s="122"/>
      <c r="V490" s="73"/>
    </row>
    <row r="491" spans="1:22">
      <c r="A491" s="63"/>
      <c r="B491" s="7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121"/>
      <c r="U491" s="122"/>
      <c r="V491" s="73"/>
    </row>
    <row r="492" spans="1:22">
      <c r="A492" s="63"/>
      <c r="B492" s="7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121"/>
      <c r="U492" s="122"/>
      <c r="V492" s="73"/>
    </row>
    <row r="493" spans="1:22">
      <c r="A493" s="63"/>
      <c r="B493" s="7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121"/>
      <c r="U493" s="122"/>
      <c r="V493" s="73"/>
    </row>
    <row r="494" spans="1:22">
      <c r="A494" s="63"/>
      <c r="B494" s="7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121"/>
      <c r="U494" s="122"/>
      <c r="V494" s="73"/>
    </row>
    <row r="495" spans="1:22">
      <c r="A495" s="63"/>
      <c r="B495" s="7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121"/>
      <c r="U495" s="122"/>
      <c r="V495" s="73"/>
    </row>
    <row r="496" spans="1:22">
      <c r="A496" s="63"/>
      <c r="B496" s="7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121"/>
      <c r="U496" s="122"/>
      <c r="V496" s="73"/>
    </row>
    <row r="497" spans="1:22">
      <c r="A497" s="63"/>
      <c r="B497" s="7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121"/>
      <c r="U497" s="122"/>
      <c r="V497" s="73"/>
    </row>
    <row r="498" spans="1:22">
      <c r="A498" s="63"/>
      <c r="B498" s="7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121"/>
      <c r="U498" s="122"/>
      <c r="V498" s="73"/>
    </row>
    <row r="499" spans="1:22">
      <c r="A499" s="63"/>
      <c r="B499" s="7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121"/>
      <c r="U499" s="122"/>
      <c r="V499" s="73"/>
    </row>
    <row r="500" spans="1:22">
      <c r="A500" s="63"/>
      <c r="B500" s="7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121"/>
      <c r="U500" s="122"/>
      <c r="V500" s="73"/>
    </row>
    <row r="501" spans="1:22">
      <c r="A501" s="63"/>
      <c r="B501" s="7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121"/>
      <c r="U501" s="122"/>
      <c r="V501" s="73"/>
    </row>
    <row r="502" spans="1:22">
      <c r="A502" s="63"/>
      <c r="B502" s="7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121"/>
      <c r="U502" s="122"/>
      <c r="V502" s="73"/>
    </row>
    <row r="503" spans="1:22">
      <c r="A503" s="63"/>
      <c r="B503" s="7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121"/>
      <c r="U503" s="122"/>
      <c r="V503" s="73"/>
    </row>
    <row r="504" spans="1:22">
      <c r="A504" s="63"/>
      <c r="B504" s="7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121"/>
      <c r="U504" s="122"/>
      <c r="V504" s="73"/>
    </row>
    <row r="505" spans="1:22">
      <c r="A505" s="63"/>
      <c r="B505" s="7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121"/>
      <c r="U505" s="122"/>
      <c r="V505" s="73"/>
    </row>
    <row r="506" spans="1:22">
      <c r="A506" s="63"/>
      <c r="B506" s="7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121"/>
      <c r="U506" s="122"/>
      <c r="V506" s="73"/>
    </row>
    <row r="507" spans="1:22">
      <c r="A507" s="63"/>
      <c r="B507" s="7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121"/>
      <c r="U507" s="122"/>
      <c r="V507" s="73"/>
    </row>
    <row r="508" spans="1:22">
      <c r="A508" s="63"/>
      <c r="B508" s="7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121"/>
      <c r="U508" s="122"/>
      <c r="V508" s="73"/>
    </row>
    <row r="509" spans="1:22">
      <c r="A509" s="63"/>
      <c r="B509" s="7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121"/>
      <c r="U509" s="122"/>
      <c r="V509" s="73"/>
    </row>
    <row r="510" spans="1:22">
      <c r="A510" s="63"/>
      <c r="B510" s="7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121"/>
      <c r="U510" s="122"/>
      <c r="V510" s="73"/>
    </row>
    <row r="511" spans="1:22">
      <c r="A511" s="63"/>
      <c r="B511" s="7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121"/>
      <c r="U511" s="122"/>
      <c r="V511" s="73"/>
    </row>
    <row r="512" spans="1:22">
      <c r="A512" s="63"/>
      <c r="B512" s="7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121"/>
      <c r="U512" s="122"/>
      <c r="V512" s="73"/>
    </row>
    <row r="513" spans="1:22">
      <c r="A513" s="63"/>
      <c r="B513" s="7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121"/>
      <c r="U513" s="122"/>
      <c r="V513" s="73"/>
    </row>
    <row r="514" spans="1:22">
      <c r="A514" s="63"/>
      <c r="B514" s="7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121"/>
      <c r="U514" s="122"/>
      <c r="V514" s="73"/>
    </row>
    <row r="515" spans="1:22">
      <c r="A515" s="63"/>
      <c r="B515" s="7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121"/>
      <c r="U515" s="122"/>
      <c r="V515" s="73"/>
    </row>
    <row r="516" spans="1:22">
      <c r="A516" s="63"/>
      <c r="B516" s="7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121"/>
      <c r="U516" s="122"/>
      <c r="V516" s="73"/>
    </row>
    <row r="517" spans="1:22">
      <c r="A517" s="63"/>
      <c r="B517" s="7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121"/>
      <c r="U517" s="122"/>
      <c r="V517" s="73"/>
    </row>
    <row r="518" spans="1:22">
      <c r="A518" s="63"/>
      <c r="B518" s="7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121"/>
      <c r="U518" s="122"/>
      <c r="V518" s="73"/>
    </row>
    <row r="519" spans="1:22">
      <c r="A519" s="63"/>
      <c r="B519" s="7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121"/>
      <c r="U519" s="122"/>
      <c r="V519" s="73"/>
    </row>
    <row r="520" spans="1:22">
      <c r="A520" s="63"/>
      <c r="B520" s="7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121"/>
      <c r="U520" s="122"/>
      <c r="V520" s="73"/>
    </row>
    <row r="521" spans="1:22">
      <c r="A521" s="63"/>
      <c r="B521" s="7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121"/>
      <c r="U521" s="122"/>
      <c r="V521" s="73"/>
    </row>
    <row r="522" spans="1:22">
      <c r="A522" s="63"/>
      <c r="B522" s="7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121"/>
      <c r="U522" s="122"/>
      <c r="V522" s="73"/>
    </row>
    <row r="523" spans="1:22">
      <c r="A523" s="63"/>
      <c r="B523" s="7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121"/>
      <c r="U523" s="122"/>
      <c r="V523" s="73"/>
    </row>
    <row r="524" spans="1:22">
      <c r="A524" s="63"/>
      <c r="B524" s="7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121"/>
      <c r="U524" s="122"/>
      <c r="V524" s="73"/>
    </row>
    <row r="525" spans="1:22">
      <c r="A525" s="63"/>
      <c r="B525" s="7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121"/>
      <c r="U525" s="122"/>
      <c r="V525" s="73"/>
    </row>
    <row r="526" spans="1:22">
      <c r="A526" s="63"/>
      <c r="B526" s="7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121"/>
      <c r="U526" s="122"/>
      <c r="V526" s="73"/>
    </row>
    <row r="527" spans="1:22">
      <c r="A527" s="63"/>
      <c r="B527" s="7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121"/>
      <c r="U527" s="122"/>
      <c r="V527" s="73"/>
    </row>
    <row r="528" spans="1:22">
      <c r="A528" s="63"/>
      <c r="B528" s="7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121"/>
      <c r="U528" s="122"/>
      <c r="V528" s="73"/>
    </row>
    <row r="529" spans="1:22">
      <c r="A529" s="63"/>
      <c r="B529" s="7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121"/>
      <c r="U529" s="122"/>
      <c r="V529" s="73"/>
    </row>
    <row r="530" spans="1:22">
      <c r="A530" s="63"/>
      <c r="B530" s="7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121"/>
      <c r="U530" s="122"/>
      <c r="V530" s="73"/>
    </row>
    <row r="531" spans="1:22">
      <c r="A531" s="63"/>
      <c r="B531" s="7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121"/>
      <c r="U531" s="122"/>
      <c r="V531" s="73"/>
    </row>
    <row r="532" spans="1:22">
      <c r="A532" s="63"/>
      <c r="B532" s="7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121"/>
      <c r="U532" s="122"/>
      <c r="V532" s="73"/>
    </row>
    <row r="533" spans="1:22">
      <c r="A533" s="63"/>
      <c r="B533" s="7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121"/>
      <c r="U533" s="122"/>
      <c r="V533" s="73"/>
    </row>
    <row r="534" spans="1:22">
      <c r="A534" s="63"/>
      <c r="B534" s="7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121"/>
      <c r="U534" s="122"/>
      <c r="V534" s="73"/>
    </row>
    <row r="535" spans="1:22">
      <c r="A535" s="63"/>
      <c r="B535" s="7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121"/>
      <c r="U535" s="122"/>
      <c r="V535" s="73"/>
    </row>
    <row r="536" spans="1:22">
      <c r="A536" s="63"/>
      <c r="B536" s="7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121"/>
      <c r="U536" s="122"/>
      <c r="V536" s="73"/>
    </row>
    <row r="537" spans="1:22">
      <c r="A537" s="63"/>
      <c r="B537" s="7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121"/>
      <c r="U537" s="122"/>
      <c r="V537" s="73"/>
    </row>
    <row r="538" spans="1:22">
      <c r="A538" s="63"/>
      <c r="B538" s="7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121"/>
      <c r="U538" s="122"/>
      <c r="V538" s="73"/>
    </row>
    <row r="539" spans="1:22">
      <c r="A539" s="63"/>
      <c r="B539" s="7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121"/>
      <c r="U539" s="122"/>
      <c r="V539" s="73"/>
    </row>
    <row r="540" spans="1:22">
      <c r="A540" s="63"/>
      <c r="B540" s="7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121"/>
      <c r="U540" s="122"/>
      <c r="V540" s="73"/>
    </row>
    <row r="541" spans="1:22">
      <c r="A541" s="63"/>
      <c r="B541" s="7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121"/>
      <c r="U541" s="122"/>
      <c r="V541" s="73"/>
    </row>
    <row r="542" spans="1:22">
      <c r="A542" s="63"/>
      <c r="B542" s="7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121"/>
      <c r="U542" s="122"/>
      <c r="V542" s="73"/>
    </row>
    <row r="543" spans="1:22">
      <c r="A543" s="63"/>
      <c r="B543" s="7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121"/>
      <c r="U543" s="122"/>
      <c r="V543" s="73"/>
    </row>
    <row r="544" spans="1:22">
      <c r="A544" s="63"/>
      <c r="B544" s="7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121"/>
      <c r="U544" s="122"/>
      <c r="V544" s="73"/>
    </row>
    <row r="545" spans="1:22">
      <c r="A545" s="63"/>
      <c r="B545" s="7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121"/>
      <c r="U545" s="122"/>
      <c r="V545" s="73"/>
    </row>
    <row r="546" spans="1:22">
      <c r="A546" s="63"/>
      <c r="B546" s="7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121"/>
      <c r="U546" s="122"/>
      <c r="V546" s="73"/>
    </row>
    <row r="547" spans="1:22">
      <c r="A547" s="63"/>
      <c r="B547" s="7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121"/>
      <c r="U547" s="122"/>
      <c r="V547" s="73"/>
    </row>
    <row r="548" spans="1:22">
      <c r="A548" s="63"/>
      <c r="B548" s="7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121"/>
      <c r="U548" s="122"/>
      <c r="V548" s="73"/>
    </row>
    <row r="549" spans="1:22">
      <c r="A549" s="63"/>
      <c r="B549" s="7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121"/>
      <c r="U549" s="122"/>
      <c r="V549" s="73"/>
    </row>
    <row r="550" spans="1:22">
      <c r="A550" s="63"/>
      <c r="B550" s="7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121"/>
      <c r="U550" s="122"/>
      <c r="V550" s="73"/>
    </row>
    <row r="551" spans="1:22">
      <c r="A551" s="63"/>
      <c r="B551" s="7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121"/>
      <c r="U551" s="122"/>
      <c r="V551" s="73"/>
    </row>
    <row r="552" spans="1:22">
      <c r="A552" s="63"/>
      <c r="B552" s="7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121"/>
      <c r="U552" s="122"/>
      <c r="V552" s="73"/>
    </row>
    <row r="553" spans="1:22">
      <c r="A553" s="63"/>
      <c r="B553" s="7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121"/>
      <c r="U553" s="122"/>
      <c r="V553" s="73"/>
    </row>
    <row r="554" spans="1:22">
      <c r="A554" s="63"/>
      <c r="B554" s="7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121"/>
      <c r="U554" s="122"/>
      <c r="V554" s="73"/>
    </row>
    <row r="555" spans="1:22">
      <c r="A555" s="63"/>
      <c r="B555" s="7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121"/>
      <c r="U555" s="122"/>
      <c r="V555" s="73"/>
    </row>
    <row r="556" spans="1:22">
      <c r="A556" s="63"/>
      <c r="B556" s="70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121"/>
      <c r="U556" s="122"/>
      <c r="V556" s="73"/>
    </row>
    <row r="557" spans="1:22">
      <c r="A557" s="63"/>
      <c r="B557" s="70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121"/>
      <c r="U557" s="122"/>
      <c r="V557" s="73"/>
    </row>
    <row r="558" spans="1:22">
      <c r="A558" s="63"/>
      <c r="B558" s="70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121"/>
      <c r="U558" s="122"/>
      <c r="V558" s="73"/>
    </row>
    <row r="559" spans="1:22">
      <c r="A559" s="63"/>
      <c r="B559" s="70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121"/>
      <c r="U559" s="122"/>
      <c r="V559" s="73"/>
    </row>
    <row r="560" spans="1:22">
      <c r="A560" s="63"/>
      <c r="B560" s="7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121"/>
      <c r="U560" s="122"/>
      <c r="V560" s="73"/>
    </row>
    <row r="561" spans="1:22">
      <c r="A561" s="63"/>
      <c r="B561" s="7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121"/>
      <c r="U561" s="122"/>
      <c r="V561" s="73"/>
    </row>
    <row r="562" spans="1:22">
      <c r="A562" s="63"/>
      <c r="B562" s="7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121"/>
      <c r="U562" s="122"/>
      <c r="V562" s="73"/>
    </row>
    <row r="563" spans="1:22">
      <c r="A563" s="63"/>
      <c r="B563" s="7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121"/>
      <c r="U563" s="122"/>
      <c r="V563" s="73"/>
    </row>
    <row r="564" spans="1:22">
      <c r="A564" s="63"/>
      <c r="B564" s="7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121"/>
      <c r="U564" s="122"/>
      <c r="V564" s="73"/>
    </row>
    <row r="565" spans="1:22">
      <c r="A565" s="63"/>
      <c r="B565" s="7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121"/>
      <c r="U565" s="122"/>
      <c r="V565" s="73"/>
    </row>
    <row r="566" spans="1:22">
      <c r="A566" s="63"/>
      <c r="B566" s="7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121"/>
      <c r="U566" s="122"/>
      <c r="V566" s="73"/>
    </row>
    <row r="567" spans="1:22">
      <c r="A567" s="63"/>
      <c r="B567" s="7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121"/>
      <c r="U567" s="122"/>
      <c r="V567" s="73"/>
    </row>
    <row r="568" spans="1:22">
      <c r="A568" s="63"/>
      <c r="B568" s="7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121"/>
      <c r="U568" s="122"/>
      <c r="V568" s="73"/>
    </row>
    <row r="569" spans="1:22">
      <c r="A569" s="63"/>
      <c r="B569" s="7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121"/>
      <c r="U569" s="122"/>
      <c r="V569" s="73"/>
    </row>
    <row r="570" spans="1:22">
      <c r="A570" s="63"/>
      <c r="B570" s="7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121"/>
      <c r="U570" s="122"/>
      <c r="V570" s="73"/>
    </row>
    <row r="571" spans="1:22">
      <c r="A571" s="63"/>
      <c r="B571" s="7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121"/>
      <c r="U571" s="122"/>
      <c r="V571" s="73"/>
    </row>
    <row r="572" spans="1:22">
      <c r="A572" s="63"/>
      <c r="B572" s="7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121"/>
      <c r="U572" s="122"/>
      <c r="V572" s="73"/>
    </row>
    <row r="573" spans="1:22">
      <c r="A573" s="63"/>
      <c r="B573" s="7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121"/>
      <c r="U573" s="122"/>
      <c r="V573" s="73"/>
    </row>
    <row r="574" spans="1:22">
      <c r="A574" s="63"/>
      <c r="B574" s="7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121"/>
      <c r="U574" s="122"/>
      <c r="V574" s="73"/>
    </row>
    <row r="575" spans="1:22">
      <c r="A575" s="63"/>
      <c r="B575" s="7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121"/>
      <c r="U575" s="122"/>
      <c r="V575" s="73"/>
    </row>
    <row r="576" spans="1:22">
      <c r="A576" s="63"/>
      <c r="B576" s="7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121"/>
      <c r="U576" s="122"/>
      <c r="V576" s="73"/>
    </row>
    <row r="577" spans="1:22">
      <c r="A577" s="63"/>
      <c r="B577" s="7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121"/>
      <c r="U577" s="122"/>
      <c r="V577" s="73"/>
    </row>
    <row r="578" spans="1:22">
      <c r="A578" s="63"/>
      <c r="B578" s="7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121"/>
      <c r="U578" s="122"/>
      <c r="V578" s="73"/>
    </row>
    <row r="579" spans="1:22">
      <c r="A579" s="63"/>
      <c r="B579" s="7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121"/>
      <c r="U579" s="122"/>
      <c r="V579" s="73"/>
    </row>
    <row r="580" spans="1:22">
      <c r="A580" s="63"/>
      <c r="B580" s="7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121"/>
      <c r="U580" s="122"/>
      <c r="V580" s="73"/>
    </row>
    <row r="581" spans="1:22">
      <c r="A581" s="63"/>
      <c r="B581" s="7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121"/>
      <c r="U581" s="122"/>
      <c r="V581" s="73"/>
    </row>
    <row r="582" spans="1:22">
      <c r="A582" s="63"/>
      <c r="B582" s="7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121"/>
      <c r="U582" s="122"/>
      <c r="V582" s="73"/>
    </row>
    <row r="583" spans="1:22">
      <c r="A583" s="63"/>
      <c r="B583" s="7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121"/>
      <c r="U583" s="122"/>
      <c r="V583" s="73"/>
    </row>
    <row r="584" spans="1:22">
      <c r="A584" s="63"/>
      <c r="B584" s="7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121"/>
      <c r="U584" s="122"/>
      <c r="V584" s="73"/>
    </row>
    <row r="585" spans="1:22">
      <c r="A585" s="63"/>
      <c r="B585" s="7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121"/>
      <c r="U585" s="122"/>
      <c r="V585" s="73"/>
    </row>
    <row r="586" spans="1:22">
      <c r="A586" s="63"/>
      <c r="B586" s="7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121"/>
      <c r="U586" s="122"/>
      <c r="V586" s="73"/>
    </row>
    <row r="587" spans="1:22">
      <c r="A587" s="63"/>
      <c r="B587" s="7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121"/>
      <c r="U587" s="122"/>
      <c r="V587" s="73"/>
    </row>
    <row r="588" spans="1:22">
      <c r="A588" s="63"/>
      <c r="B588" s="7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121"/>
      <c r="U588" s="122"/>
      <c r="V588" s="73"/>
    </row>
    <row r="589" spans="1:22">
      <c r="A589" s="63"/>
      <c r="B589" s="7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121"/>
      <c r="U589" s="122"/>
      <c r="V589" s="73"/>
    </row>
    <row r="590" spans="1:22">
      <c r="A590" s="63"/>
      <c r="B590" s="7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121"/>
      <c r="U590" s="122"/>
      <c r="V590" s="73"/>
    </row>
    <row r="591" spans="1:22">
      <c r="A591" s="63"/>
      <c r="B591" s="7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121"/>
      <c r="U591" s="122"/>
      <c r="V591" s="73"/>
    </row>
    <row r="592" spans="1:22">
      <c r="A592" s="63"/>
      <c r="B592" s="7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121"/>
      <c r="U592" s="122"/>
      <c r="V592" s="73"/>
    </row>
    <row r="593" spans="1:22">
      <c r="A593" s="63"/>
      <c r="B593" s="7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121"/>
      <c r="U593" s="122"/>
      <c r="V593" s="73"/>
    </row>
    <row r="594" spans="1:22">
      <c r="A594" s="63"/>
      <c r="B594" s="7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121"/>
      <c r="U594" s="122"/>
      <c r="V594" s="73"/>
    </row>
    <row r="595" spans="1:22">
      <c r="A595" s="63"/>
      <c r="B595" s="7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121"/>
      <c r="U595" s="122"/>
      <c r="V595" s="73"/>
    </row>
    <row r="596" spans="1:22">
      <c r="A596" s="63"/>
      <c r="B596" s="7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121"/>
      <c r="U596" s="122"/>
      <c r="V596" s="73"/>
    </row>
    <row r="597" spans="1:22">
      <c r="A597" s="63"/>
      <c r="B597" s="7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121"/>
      <c r="U597" s="122"/>
      <c r="V597" s="73"/>
    </row>
    <row r="598" spans="1:22">
      <c r="A598" s="63"/>
      <c r="B598" s="7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121"/>
      <c r="U598" s="122"/>
      <c r="V598" s="73"/>
    </row>
    <row r="599" spans="1:22">
      <c r="A599" s="63"/>
      <c r="B599" s="7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121"/>
      <c r="U599" s="122"/>
      <c r="V599" s="73"/>
    </row>
    <row r="600" spans="1:22">
      <c r="A600" s="63"/>
      <c r="B600" s="7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121"/>
      <c r="U600" s="122"/>
      <c r="V600" s="73"/>
    </row>
    <row r="601" spans="1:22">
      <c r="A601" s="63"/>
      <c r="B601" s="7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121"/>
      <c r="U601" s="122"/>
      <c r="V601" s="73"/>
    </row>
    <row r="602" spans="1:22">
      <c r="A602" s="63"/>
      <c r="B602" s="7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121"/>
      <c r="U602" s="122"/>
      <c r="V602" s="73"/>
    </row>
    <row r="603" spans="1:22">
      <c r="A603" s="63"/>
      <c r="B603" s="7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121"/>
      <c r="U603" s="122"/>
      <c r="V603" s="73"/>
    </row>
    <row r="604" spans="1:22">
      <c r="A604" s="63"/>
      <c r="B604" s="7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121"/>
      <c r="U604" s="122"/>
      <c r="V604" s="73"/>
    </row>
    <row r="605" spans="1:22">
      <c r="A605" s="63"/>
      <c r="B605" s="7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121"/>
      <c r="U605" s="122"/>
      <c r="V605" s="73"/>
    </row>
    <row r="606" spans="1:22">
      <c r="A606" s="63"/>
      <c r="B606" s="7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121"/>
      <c r="U606" s="122"/>
      <c r="V606" s="73"/>
    </row>
    <row r="607" spans="1:22">
      <c r="A607" s="63"/>
      <c r="B607" s="7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121"/>
      <c r="U607" s="122"/>
      <c r="V607" s="73"/>
    </row>
    <row r="608" spans="1:22">
      <c r="A608" s="63"/>
      <c r="B608" s="7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121"/>
      <c r="U608" s="122"/>
      <c r="V608" s="73"/>
    </row>
    <row r="609" spans="1:22">
      <c r="A609" s="63"/>
      <c r="B609" s="7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121"/>
      <c r="U609" s="122"/>
      <c r="V609" s="73"/>
    </row>
    <row r="610" spans="1:22">
      <c r="A610" s="63"/>
      <c r="B610" s="7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121"/>
      <c r="U610" s="122"/>
      <c r="V610" s="73"/>
    </row>
    <row r="611" spans="1:22">
      <c r="A611" s="63"/>
      <c r="B611" s="7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121"/>
      <c r="U611" s="122"/>
      <c r="V611" s="73"/>
    </row>
    <row r="612" spans="1:22">
      <c r="A612" s="63"/>
      <c r="B612" s="7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121"/>
      <c r="U612" s="122"/>
      <c r="V612" s="73"/>
    </row>
    <row r="613" spans="1:22">
      <c r="A613" s="63"/>
      <c r="B613" s="7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121"/>
      <c r="U613" s="122"/>
      <c r="V613" s="73"/>
    </row>
    <row r="614" spans="1:22">
      <c r="A614" s="63"/>
      <c r="B614" s="7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121"/>
      <c r="U614" s="122"/>
      <c r="V614" s="73"/>
    </row>
    <row r="615" spans="1:22">
      <c r="A615" s="63"/>
      <c r="B615" s="7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121"/>
      <c r="U615" s="122"/>
      <c r="V615" s="73"/>
    </row>
    <row r="616" spans="1:22">
      <c r="A616" s="63"/>
      <c r="B616" s="7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121"/>
      <c r="U616" s="122"/>
      <c r="V616" s="73"/>
    </row>
    <row r="617" spans="1:22">
      <c r="A617" s="63"/>
      <c r="B617" s="7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121"/>
      <c r="U617" s="122"/>
      <c r="V617" s="73"/>
    </row>
    <row r="618" spans="1:22">
      <c r="A618" s="63"/>
      <c r="B618" s="7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121"/>
      <c r="U618" s="122"/>
      <c r="V618" s="73"/>
    </row>
    <row r="619" spans="1:22">
      <c r="A619" s="63"/>
      <c r="B619" s="7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121"/>
      <c r="U619" s="122"/>
      <c r="V619" s="73"/>
    </row>
    <row r="620" spans="1:22">
      <c r="A620" s="63"/>
      <c r="B620" s="7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121"/>
      <c r="U620" s="122"/>
      <c r="V620" s="73"/>
    </row>
    <row r="621" spans="1:22">
      <c r="A621" s="63"/>
      <c r="B621" s="7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121"/>
      <c r="U621" s="122"/>
      <c r="V621" s="73"/>
    </row>
    <row r="622" spans="1:22">
      <c r="A622" s="63"/>
      <c r="B622" s="7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121"/>
      <c r="U622" s="122"/>
      <c r="V622" s="73"/>
    </row>
    <row r="623" spans="1:22">
      <c r="A623" s="63"/>
      <c r="B623" s="7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121"/>
      <c r="U623" s="122"/>
      <c r="V623" s="73"/>
    </row>
    <row r="624" spans="1:22">
      <c r="A624" s="63"/>
      <c r="B624" s="7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121"/>
      <c r="U624" s="122"/>
      <c r="V624" s="73"/>
    </row>
    <row r="625" spans="1:22">
      <c r="A625" s="63"/>
      <c r="B625" s="7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121"/>
      <c r="U625" s="122"/>
      <c r="V625" s="73"/>
    </row>
    <row r="626" spans="1:22">
      <c r="A626" s="63"/>
      <c r="B626" s="7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121"/>
      <c r="U626" s="122"/>
      <c r="V626" s="73"/>
    </row>
    <row r="627" spans="1:22">
      <c r="A627" s="63"/>
      <c r="B627" s="7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121"/>
      <c r="U627" s="122"/>
      <c r="V627" s="73"/>
    </row>
    <row r="628" spans="1:22">
      <c r="A628" s="63"/>
      <c r="B628" s="7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121"/>
      <c r="U628" s="122"/>
      <c r="V628" s="73"/>
    </row>
    <row r="629" spans="1:22">
      <c r="A629" s="63"/>
      <c r="B629" s="7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121"/>
      <c r="U629" s="122"/>
      <c r="V629" s="73"/>
    </row>
    <row r="630" spans="1:22">
      <c r="A630" s="63"/>
      <c r="B630" s="70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80"/>
      <c r="R630" s="80"/>
      <c r="S630" s="80"/>
      <c r="T630" s="121"/>
      <c r="U630" s="122"/>
      <c r="V630" s="73"/>
    </row>
    <row r="631" spans="1:22">
      <c r="A631" s="63"/>
      <c r="B631" s="70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80"/>
      <c r="R631" s="80"/>
      <c r="S631" s="80"/>
      <c r="T631" s="121"/>
      <c r="U631" s="122"/>
      <c r="V631" s="73"/>
    </row>
    <row r="632" spans="1:22">
      <c r="A632" s="63"/>
      <c r="B632" s="70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80"/>
      <c r="R632" s="80"/>
      <c r="S632" s="80"/>
      <c r="T632" s="121"/>
      <c r="U632" s="122"/>
      <c r="V632" s="73"/>
    </row>
    <row r="633" spans="1:22">
      <c r="A633" s="63"/>
      <c r="B633" s="70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0"/>
      <c r="N633" s="80"/>
      <c r="O633" s="80"/>
      <c r="P633" s="80"/>
      <c r="Q633" s="80"/>
      <c r="R633" s="80"/>
      <c r="S633" s="80"/>
      <c r="T633" s="121"/>
      <c r="U633" s="122"/>
      <c r="V633" s="73"/>
    </row>
    <row r="634" spans="1:22">
      <c r="A634" s="63"/>
      <c r="B634" s="70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80"/>
      <c r="R634" s="80"/>
      <c r="S634" s="80"/>
      <c r="T634" s="121"/>
      <c r="U634" s="122"/>
      <c r="V634" s="73"/>
    </row>
    <row r="635" spans="1:22">
      <c r="A635" s="63"/>
      <c r="B635" s="70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0"/>
      <c r="N635" s="80"/>
      <c r="O635" s="80"/>
      <c r="P635" s="80"/>
      <c r="Q635" s="80"/>
      <c r="R635" s="80"/>
      <c r="S635" s="80"/>
      <c r="T635" s="121"/>
      <c r="U635" s="122"/>
      <c r="V635" s="73"/>
    </row>
    <row r="636" spans="1:22">
      <c r="A636" s="63"/>
      <c r="B636" s="70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0"/>
      <c r="N636" s="80"/>
      <c r="O636" s="80"/>
      <c r="P636" s="80"/>
      <c r="Q636" s="80"/>
      <c r="R636" s="80"/>
      <c r="S636" s="80"/>
      <c r="T636" s="121"/>
      <c r="U636" s="122"/>
      <c r="V636" s="73"/>
    </row>
    <row r="637" spans="1:22">
      <c r="A637" s="63"/>
      <c r="B637" s="70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0"/>
      <c r="N637" s="80"/>
      <c r="O637" s="80"/>
      <c r="P637" s="80"/>
      <c r="Q637" s="80"/>
      <c r="R637" s="80"/>
      <c r="S637" s="80"/>
      <c r="T637" s="121"/>
      <c r="U637" s="122"/>
      <c r="V637" s="73"/>
    </row>
    <row r="638" spans="1:22">
      <c r="A638" s="63"/>
      <c r="B638" s="70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0"/>
      <c r="N638" s="80"/>
      <c r="O638" s="80"/>
      <c r="P638" s="80"/>
      <c r="Q638" s="80"/>
      <c r="R638" s="80"/>
      <c r="S638" s="80"/>
      <c r="T638" s="121"/>
      <c r="U638" s="122"/>
      <c r="V638" s="73"/>
    </row>
    <row r="639" spans="1:22">
      <c r="A639" s="63"/>
      <c r="B639" s="70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0"/>
      <c r="N639" s="80"/>
      <c r="O639" s="80"/>
      <c r="P639" s="80"/>
      <c r="Q639" s="80"/>
      <c r="R639" s="80"/>
      <c r="S639" s="80"/>
      <c r="T639" s="121"/>
      <c r="U639" s="122"/>
      <c r="V639" s="73"/>
    </row>
    <row r="640" spans="1:22">
      <c r="A640" s="63"/>
      <c r="B640" s="70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0"/>
      <c r="N640" s="80"/>
      <c r="O640" s="80"/>
      <c r="P640" s="80"/>
      <c r="Q640" s="80"/>
      <c r="R640" s="80"/>
      <c r="S640" s="80"/>
      <c r="T640" s="121"/>
      <c r="U640" s="122"/>
      <c r="V640" s="73"/>
    </row>
    <row r="641" spans="1:22">
      <c r="A641" s="63"/>
      <c r="B641" s="70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0"/>
      <c r="N641" s="80"/>
      <c r="O641" s="80"/>
      <c r="P641" s="80"/>
      <c r="Q641" s="80"/>
      <c r="R641" s="80"/>
      <c r="S641" s="80"/>
      <c r="T641" s="121"/>
      <c r="U641" s="122"/>
      <c r="V641" s="73"/>
    </row>
    <row r="642" spans="1:22">
      <c r="A642" s="63"/>
      <c r="B642" s="70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0"/>
      <c r="N642" s="80"/>
      <c r="O642" s="80"/>
      <c r="P642" s="80"/>
      <c r="Q642" s="80"/>
      <c r="R642" s="80"/>
      <c r="S642" s="80"/>
      <c r="T642" s="121"/>
      <c r="U642" s="122"/>
      <c r="V642" s="73"/>
    </row>
    <row r="643" spans="1:22">
      <c r="A643" s="63"/>
      <c r="B643" s="70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0"/>
      <c r="N643" s="80"/>
      <c r="O643" s="80"/>
      <c r="P643" s="80"/>
      <c r="Q643" s="80"/>
      <c r="R643" s="80"/>
      <c r="S643" s="80"/>
      <c r="T643" s="121"/>
      <c r="U643" s="122"/>
      <c r="V643" s="73"/>
    </row>
    <row r="644" spans="1:22">
      <c r="A644" s="63"/>
      <c r="B644" s="70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0"/>
      <c r="N644" s="80"/>
      <c r="O644" s="80"/>
      <c r="P644" s="80"/>
      <c r="Q644" s="80"/>
      <c r="R644" s="80"/>
      <c r="S644" s="80"/>
      <c r="T644" s="121"/>
      <c r="U644" s="122"/>
      <c r="V644" s="73"/>
    </row>
    <row r="645" spans="1:22">
      <c r="A645" s="63"/>
      <c r="B645" s="70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80"/>
      <c r="R645" s="80"/>
      <c r="S645" s="80"/>
      <c r="T645" s="121"/>
      <c r="U645" s="122"/>
      <c r="V645" s="73"/>
    </row>
    <row r="646" spans="1:22">
      <c r="A646" s="63"/>
      <c r="B646" s="70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0"/>
      <c r="N646" s="80"/>
      <c r="O646" s="80"/>
      <c r="P646" s="80"/>
      <c r="Q646" s="80"/>
      <c r="R646" s="80"/>
      <c r="S646" s="80"/>
      <c r="T646" s="121"/>
      <c r="U646" s="122"/>
      <c r="V646" s="73"/>
    </row>
    <row r="647" spans="1:22">
      <c r="A647" s="63"/>
      <c r="B647" s="70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0"/>
      <c r="N647" s="80"/>
      <c r="O647" s="80"/>
      <c r="P647" s="80"/>
      <c r="Q647" s="80"/>
      <c r="R647" s="80"/>
      <c r="S647" s="80"/>
      <c r="T647" s="121"/>
      <c r="U647" s="122"/>
      <c r="V647" s="73"/>
    </row>
    <row r="648" spans="1:22">
      <c r="A648" s="63"/>
      <c r="B648" s="70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80"/>
      <c r="R648" s="80"/>
      <c r="S648" s="80"/>
      <c r="T648" s="121"/>
      <c r="U648" s="122"/>
      <c r="V648" s="73"/>
    </row>
    <row r="649" spans="1:22">
      <c r="A649" s="63"/>
      <c r="B649" s="70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80"/>
      <c r="R649" s="80"/>
      <c r="S649" s="80"/>
      <c r="T649" s="121"/>
      <c r="U649" s="122"/>
      <c r="V649" s="73"/>
    </row>
    <row r="650" spans="1:22">
      <c r="A650" s="63"/>
      <c r="B650" s="70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  <c r="R650" s="80"/>
      <c r="S650" s="80"/>
      <c r="T650" s="121"/>
      <c r="U650" s="122"/>
      <c r="V650" s="73"/>
    </row>
    <row r="651" spans="1:22">
      <c r="A651" s="63"/>
      <c r="B651" s="70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80"/>
      <c r="R651" s="80"/>
      <c r="S651" s="80"/>
      <c r="T651" s="121"/>
      <c r="U651" s="122"/>
      <c r="V651" s="73"/>
    </row>
    <row r="652" spans="1:22">
      <c r="A652" s="63"/>
      <c r="B652" s="70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80"/>
      <c r="R652" s="80"/>
      <c r="S652" s="80"/>
      <c r="T652" s="121"/>
      <c r="U652" s="122"/>
      <c r="V652" s="73"/>
    </row>
    <row r="653" spans="1:22">
      <c r="A653" s="63"/>
      <c r="B653" s="70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80"/>
      <c r="R653" s="80"/>
      <c r="S653" s="80"/>
      <c r="T653" s="121"/>
      <c r="U653" s="122"/>
      <c r="V653" s="73"/>
    </row>
    <row r="654" spans="1:22">
      <c r="A654" s="63"/>
      <c r="B654" s="70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0"/>
      <c r="N654" s="80"/>
      <c r="O654" s="80"/>
      <c r="P654" s="80"/>
      <c r="Q654" s="80"/>
      <c r="R654" s="80"/>
      <c r="S654" s="80"/>
      <c r="T654" s="121"/>
      <c r="U654" s="122"/>
      <c r="V654" s="73"/>
    </row>
    <row r="655" spans="1:22">
      <c r="A655" s="63"/>
      <c r="B655" s="70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0"/>
      <c r="N655" s="80"/>
      <c r="O655" s="80"/>
      <c r="P655" s="80"/>
      <c r="Q655" s="80"/>
      <c r="R655" s="80"/>
      <c r="S655" s="80"/>
      <c r="T655" s="121"/>
      <c r="U655" s="122"/>
      <c r="V655" s="73"/>
    </row>
    <row r="656" spans="1:22">
      <c r="A656" s="63"/>
      <c r="B656" s="70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0"/>
      <c r="N656" s="80"/>
      <c r="O656" s="80"/>
      <c r="P656" s="80"/>
      <c r="Q656" s="80"/>
      <c r="R656" s="80"/>
      <c r="S656" s="80"/>
      <c r="T656" s="121"/>
      <c r="U656" s="122"/>
      <c r="V656" s="73"/>
    </row>
    <row r="657" spans="1:22">
      <c r="A657" s="63"/>
      <c r="B657" s="70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0"/>
      <c r="N657" s="80"/>
      <c r="O657" s="80"/>
      <c r="P657" s="80"/>
      <c r="Q657" s="80"/>
      <c r="R657" s="80"/>
      <c r="S657" s="80"/>
      <c r="T657" s="121"/>
      <c r="U657" s="122"/>
      <c r="V657" s="73"/>
    </row>
    <row r="658" spans="1:22">
      <c r="A658" s="63"/>
      <c r="B658" s="70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0"/>
      <c r="N658" s="80"/>
      <c r="O658" s="80"/>
      <c r="P658" s="80"/>
      <c r="Q658" s="80"/>
      <c r="R658" s="80"/>
      <c r="S658" s="80"/>
      <c r="T658" s="121"/>
      <c r="U658" s="122"/>
      <c r="V658" s="73"/>
    </row>
    <row r="659" spans="1:22">
      <c r="A659" s="63"/>
      <c r="B659" s="70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0"/>
      <c r="N659" s="80"/>
      <c r="O659" s="80"/>
      <c r="P659" s="80"/>
      <c r="Q659" s="80"/>
      <c r="R659" s="80"/>
      <c r="S659" s="80"/>
      <c r="T659" s="121"/>
      <c r="U659" s="122"/>
      <c r="V659" s="73"/>
    </row>
    <row r="660" spans="1:22">
      <c r="A660" s="63"/>
      <c r="B660" s="70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0"/>
      <c r="N660" s="80"/>
      <c r="O660" s="80"/>
      <c r="P660" s="80"/>
      <c r="Q660" s="80"/>
      <c r="R660" s="80"/>
      <c r="S660" s="80"/>
      <c r="T660" s="121"/>
      <c r="U660" s="122"/>
      <c r="V660" s="73"/>
    </row>
    <row r="661" spans="1:22">
      <c r="A661" s="63"/>
      <c r="B661" s="70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0"/>
      <c r="N661" s="80"/>
      <c r="O661" s="80"/>
      <c r="P661" s="80"/>
      <c r="Q661" s="80"/>
      <c r="R661" s="80"/>
      <c r="S661" s="80"/>
      <c r="T661" s="121"/>
      <c r="U661" s="122"/>
      <c r="V661" s="73"/>
    </row>
    <row r="662" spans="1:22">
      <c r="A662" s="63"/>
      <c r="B662" s="70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0"/>
      <c r="N662" s="80"/>
      <c r="O662" s="80"/>
      <c r="P662" s="80"/>
      <c r="Q662" s="80"/>
      <c r="R662" s="80"/>
      <c r="S662" s="80"/>
      <c r="T662" s="121"/>
      <c r="U662" s="122"/>
      <c r="V662" s="73"/>
    </row>
    <row r="663" spans="1:22">
      <c r="A663" s="63"/>
      <c r="B663" s="70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0"/>
      <c r="N663" s="80"/>
      <c r="O663" s="80"/>
      <c r="P663" s="80"/>
      <c r="Q663" s="80"/>
      <c r="R663" s="80"/>
      <c r="S663" s="80"/>
      <c r="T663" s="121"/>
      <c r="U663" s="122"/>
      <c r="V663" s="73"/>
    </row>
    <row r="664" spans="1:22">
      <c r="A664" s="63"/>
      <c r="B664" s="70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0"/>
      <c r="N664" s="80"/>
      <c r="O664" s="80"/>
      <c r="P664" s="80"/>
      <c r="Q664" s="80"/>
      <c r="R664" s="80"/>
      <c r="S664" s="80"/>
      <c r="T664" s="121"/>
      <c r="U664" s="122"/>
      <c r="V664" s="73"/>
    </row>
    <row r="665" spans="1:22">
      <c r="A665" s="63"/>
      <c r="B665" s="70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0"/>
      <c r="N665" s="80"/>
      <c r="O665" s="80"/>
      <c r="P665" s="80"/>
      <c r="Q665" s="80"/>
      <c r="R665" s="80"/>
      <c r="S665" s="80"/>
      <c r="T665" s="121"/>
      <c r="U665" s="122"/>
      <c r="V665" s="73"/>
    </row>
    <row r="666" spans="1:22">
      <c r="A666" s="63"/>
      <c r="B666" s="70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0"/>
      <c r="N666" s="80"/>
      <c r="O666" s="80"/>
      <c r="P666" s="80"/>
      <c r="Q666" s="80"/>
      <c r="R666" s="80"/>
      <c r="S666" s="80"/>
      <c r="T666" s="121"/>
      <c r="U666" s="122"/>
      <c r="V666" s="73"/>
    </row>
    <row r="667" spans="1:22">
      <c r="A667" s="63"/>
      <c r="B667" s="70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0"/>
      <c r="N667" s="80"/>
      <c r="O667" s="80"/>
      <c r="P667" s="80"/>
      <c r="Q667" s="80"/>
      <c r="R667" s="80"/>
      <c r="S667" s="80"/>
      <c r="T667" s="121"/>
      <c r="U667" s="122"/>
      <c r="V667" s="73"/>
    </row>
    <row r="668" spans="1:22">
      <c r="A668" s="63"/>
      <c r="B668" s="70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0"/>
      <c r="N668" s="80"/>
      <c r="O668" s="80"/>
      <c r="P668" s="80"/>
      <c r="Q668" s="80"/>
      <c r="R668" s="80"/>
      <c r="S668" s="80"/>
      <c r="T668" s="121"/>
      <c r="U668" s="122"/>
      <c r="V668" s="73"/>
    </row>
    <row r="669" spans="1:22">
      <c r="A669" s="63"/>
      <c r="B669" s="70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0"/>
      <c r="N669" s="80"/>
      <c r="O669" s="80"/>
      <c r="P669" s="80"/>
      <c r="Q669" s="80"/>
      <c r="R669" s="80"/>
      <c r="S669" s="80"/>
      <c r="T669" s="121"/>
      <c r="U669" s="122"/>
      <c r="V669" s="73"/>
    </row>
    <row r="670" spans="1:22">
      <c r="A670" s="63"/>
      <c r="B670" s="70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0"/>
      <c r="N670" s="80"/>
      <c r="O670" s="80"/>
      <c r="P670" s="80"/>
      <c r="Q670" s="80"/>
      <c r="R670" s="80"/>
      <c r="S670" s="80"/>
      <c r="T670" s="121"/>
      <c r="U670" s="122"/>
      <c r="V670" s="73"/>
    </row>
    <row r="671" spans="1:22">
      <c r="A671" s="63"/>
      <c r="B671" s="70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0"/>
      <c r="N671" s="80"/>
      <c r="O671" s="80"/>
      <c r="P671" s="80"/>
      <c r="Q671" s="80"/>
      <c r="R671" s="80"/>
      <c r="S671" s="80"/>
      <c r="T671" s="121"/>
      <c r="U671" s="122"/>
      <c r="V671" s="73"/>
    </row>
    <row r="672" spans="1:22">
      <c r="A672" s="63"/>
      <c r="B672" s="70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0"/>
      <c r="N672" s="80"/>
      <c r="O672" s="80"/>
      <c r="P672" s="80"/>
      <c r="Q672" s="80"/>
      <c r="R672" s="80"/>
      <c r="S672" s="80"/>
      <c r="T672" s="121"/>
      <c r="U672" s="122"/>
      <c r="V672" s="73"/>
    </row>
    <row r="673" spans="1:22">
      <c r="A673" s="63"/>
      <c r="B673" s="70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0"/>
      <c r="N673" s="80"/>
      <c r="O673" s="80"/>
      <c r="P673" s="80"/>
      <c r="Q673" s="80"/>
      <c r="R673" s="80"/>
      <c r="S673" s="80"/>
      <c r="T673" s="121"/>
      <c r="U673" s="122"/>
      <c r="V673" s="73"/>
    </row>
    <row r="674" spans="1:22">
      <c r="A674" s="63"/>
      <c r="B674" s="70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0"/>
      <c r="N674" s="80"/>
      <c r="O674" s="80"/>
      <c r="P674" s="80"/>
      <c r="Q674" s="80"/>
      <c r="R674" s="80"/>
      <c r="S674" s="80"/>
      <c r="T674" s="121"/>
      <c r="U674" s="122"/>
      <c r="V674" s="73"/>
    </row>
    <row r="675" spans="1:22">
      <c r="A675" s="63"/>
      <c r="B675" s="70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0"/>
      <c r="N675" s="80"/>
      <c r="O675" s="80"/>
      <c r="P675" s="80"/>
      <c r="Q675" s="80"/>
      <c r="R675" s="80"/>
      <c r="S675" s="80"/>
      <c r="T675" s="121"/>
      <c r="U675" s="122"/>
      <c r="V675" s="73"/>
    </row>
    <row r="676" spans="1:22">
      <c r="A676" s="63"/>
      <c r="B676" s="70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0"/>
      <c r="N676" s="80"/>
      <c r="O676" s="80"/>
      <c r="P676" s="80"/>
      <c r="Q676" s="80"/>
      <c r="R676" s="80"/>
      <c r="S676" s="80"/>
      <c r="T676" s="121"/>
      <c r="U676" s="122"/>
      <c r="V676" s="73"/>
    </row>
    <row r="677" spans="1:22">
      <c r="A677" s="63"/>
      <c r="B677" s="70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0"/>
      <c r="N677" s="80"/>
      <c r="O677" s="80"/>
      <c r="P677" s="80"/>
      <c r="Q677" s="80"/>
      <c r="R677" s="80"/>
      <c r="S677" s="80"/>
      <c r="T677" s="121"/>
      <c r="U677" s="122"/>
      <c r="V677" s="73"/>
    </row>
    <row r="678" spans="1:22">
      <c r="A678" s="63"/>
      <c r="B678" s="70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  <c r="S678" s="80"/>
      <c r="T678" s="121"/>
      <c r="U678" s="122"/>
      <c r="V678" s="73"/>
    </row>
    <row r="679" spans="1:22">
      <c r="A679" s="63"/>
      <c r="B679" s="70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  <c r="R679" s="80"/>
      <c r="S679" s="80"/>
      <c r="T679" s="121"/>
      <c r="U679" s="122"/>
      <c r="V679" s="73"/>
    </row>
    <row r="680" spans="1:22">
      <c r="A680" s="63"/>
      <c r="B680" s="70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  <c r="R680" s="80"/>
      <c r="S680" s="80"/>
      <c r="T680" s="121"/>
      <c r="U680" s="122"/>
      <c r="V680" s="73"/>
    </row>
    <row r="681" spans="1:22">
      <c r="A681" s="63"/>
      <c r="B681" s="70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  <c r="R681" s="80"/>
      <c r="S681" s="80"/>
      <c r="T681" s="121"/>
      <c r="U681" s="122"/>
      <c r="V681" s="73"/>
    </row>
    <row r="682" spans="1:22">
      <c r="A682" s="63"/>
      <c r="B682" s="70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  <c r="S682" s="80"/>
      <c r="T682" s="121"/>
      <c r="U682" s="122"/>
      <c r="V682" s="73"/>
    </row>
    <row r="683" spans="1:22">
      <c r="A683" s="63"/>
      <c r="B683" s="70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  <c r="R683" s="80"/>
      <c r="S683" s="80"/>
      <c r="T683" s="121"/>
      <c r="U683" s="122"/>
      <c r="V683" s="73"/>
    </row>
    <row r="684" spans="1:22">
      <c r="A684" s="63"/>
      <c r="B684" s="70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  <c r="R684" s="80"/>
      <c r="S684" s="80"/>
      <c r="T684" s="121"/>
      <c r="U684" s="122"/>
      <c r="V684" s="73"/>
    </row>
    <row r="685" spans="1:22">
      <c r="A685" s="63"/>
      <c r="B685" s="70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  <c r="R685" s="80"/>
      <c r="S685" s="80"/>
      <c r="T685" s="121"/>
      <c r="U685" s="122"/>
      <c r="V685" s="73"/>
    </row>
    <row r="686" spans="1:22">
      <c r="A686" s="63"/>
      <c r="B686" s="70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  <c r="R686" s="80"/>
      <c r="S686" s="80"/>
      <c r="T686" s="121"/>
      <c r="U686" s="122"/>
      <c r="V686" s="73"/>
    </row>
    <row r="687" spans="1:22">
      <c r="A687" s="63"/>
      <c r="B687" s="70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  <c r="R687" s="80"/>
      <c r="S687" s="80"/>
      <c r="T687" s="121"/>
      <c r="U687" s="122"/>
      <c r="V687" s="73"/>
    </row>
    <row r="688" spans="1:22">
      <c r="A688" s="63"/>
      <c r="B688" s="70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  <c r="R688" s="80"/>
      <c r="S688" s="80"/>
      <c r="T688" s="121"/>
      <c r="U688" s="122"/>
      <c r="V688" s="73"/>
    </row>
    <row r="689" spans="1:22">
      <c r="A689" s="63"/>
      <c r="B689" s="70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  <c r="R689" s="80"/>
      <c r="S689" s="80"/>
      <c r="T689" s="121"/>
      <c r="U689" s="122"/>
      <c r="V689" s="73"/>
    </row>
    <row r="690" spans="1:22">
      <c r="A690" s="63"/>
      <c r="B690" s="70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  <c r="R690" s="80"/>
      <c r="S690" s="80"/>
      <c r="T690" s="121"/>
      <c r="U690" s="122"/>
      <c r="V690" s="73"/>
    </row>
    <row r="691" spans="1:22">
      <c r="A691" s="63"/>
      <c r="B691" s="70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  <c r="R691" s="80"/>
      <c r="S691" s="80"/>
      <c r="T691" s="121"/>
      <c r="U691" s="122"/>
      <c r="V691" s="73"/>
    </row>
    <row r="692" spans="1:22">
      <c r="A692" s="63"/>
      <c r="B692" s="70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  <c r="R692" s="80"/>
      <c r="S692" s="80"/>
      <c r="T692" s="121"/>
      <c r="U692" s="122"/>
      <c r="V692" s="73"/>
    </row>
    <row r="693" spans="1:22">
      <c r="A693" s="63"/>
      <c r="B693" s="70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0"/>
      <c r="N693" s="80"/>
      <c r="O693" s="80"/>
      <c r="P693" s="80"/>
      <c r="Q693" s="80"/>
      <c r="R693" s="80"/>
      <c r="S693" s="80"/>
      <c r="T693" s="121"/>
      <c r="U693" s="122"/>
      <c r="V693" s="73"/>
    </row>
    <row r="694" spans="1:22">
      <c r="A694" s="63"/>
      <c r="B694" s="70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0"/>
      <c r="N694" s="80"/>
      <c r="O694" s="80"/>
      <c r="P694" s="80"/>
      <c r="Q694" s="80"/>
      <c r="R694" s="80"/>
      <c r="S694" s="80"/>
      <c r="T694" s="121"/>
      <c r="U694" s="122"/>
      <c r="V694" s="73"/>
    </row>
    <row r="695" spans="1:22">
      <c r="A695" s="63"/>
      <c r="B695" s="70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0"/>
      <c r="N695" s="80"/>
      <c r="O695" s="80"/>
      <c r="P695" s="80"/>
      <c r="Q695" s="80"/>
      <c r="R695" s="80"/>
      <c r="S695" s="80"/>
      <c r="T695" s="121"/>
      <c r="U695" s="122"/>
      <c r="V695" s="73"/>
    </row>
    <row r="696" spans="1:22">
      <c r="A696" s="63"/>
      <c r="B696" s="70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0"/>
      <c r="N696" s="80"/>
      <c r="O696" s="80"/>
      <c r="P696" s="80"/>
      <c r="Q696" s="80"/>
      <c r="R696" s="80"/>
      <c r="S696" s="80"/>
      <c r="T696" s="121"/>
      <c r="U696" s="122"/>
      <c r="V696" s="73"/>
    </row>
    <row r="697" spans="1:22">
      <c r="A697" s="63"/>
      <c r="B697" s="70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0"/>
      <c r="N697" s="80"/>
      <c r="O697" s="80"/>
      <c r="P697" s="80"/>
      <c r="Q697" s="80"/>
      <c r="R697" s="80"/>
      <c r="S697" s="80"/>
      <c r="T697" s="121"/>
      <c r="U697" s="122"/>
      <c r="V697" s="73"/>
    </row>
    <row r="698" spans="1:22">
      <c r="A698" s="63"/>
      <c r="B698" s="70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0"/>
      <c r="N698" s="80"/>
      <c r="O698" s="80"/>
      <c r="P698" s="80"/>
      <c r="Q698" s="80"/>
      <c r="R698" s="80"/>
      <c r="S698" s="80"/>
      <c r="T698" s="121"/>
      <c r="U698" s="122"/>
      <c r="V698" s="73"/>
    </row>
    <row r="699" spans="1:22">
      <c r="A699" s="63"/>
      <c r="B699" s="70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0"/>
      <c r="N699" s="80"/>
      <c r="O699" s="80"/>
      <c r="P699" s="80"/>
      <c r="Q699" s="80"/>
      <c r="R699" s="80"/>
      <c r="S699" s="80"/>
      <c r="T699" s="121"/>
      <c r="U699" s="122"/>
      <c r="V699" s="73"/>
    </row>
    <row r="700" spans="1:22">
      <c r="A700" s="63"/>
      <c r="B700" s="70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0"/>
      <c r="N700" s="80"/>
      <c r="O700" s="80"/>
      <c r="P700" s="80"/>
      <c r="Q700" s="80"/>
      <c r="R700" s="80"/>
      <c r="S700" s="80"/>
      <c r="T700" s="121"/>
      <c r="U700" s="122"/>
      <c r="V700" s="73"/>
    </row>
    <row r="701" spans="1:22">
      <c r="A701" s="63"/>
      <c r="B701" s="70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  <c r="S701" s="80"/>
      <c r="T701" s="121"/>
      <c r="U701" s="122"/>
      <c r="V701" s="73"/>
    </row>
    <row r="702" spans="1:22">
      <c r="A702" s="63"/>
      <c r="B702" s="70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0"/>
      <c r="N702" s="80"/>
      <c r="O702" s="80"/>
      <c r="P702" s="80"/>
      <c r="Q702" s="80"/>
      <c r="R702" s="80"/>
      <c r="S702" s="80"/>
      <c r="T702" s="121"/>
      <c r="U702" s="122"/>
      <c r="V702" s="73"/>
    </row>
    <row r="703" spans="1:22">
      <c r="A703" s="63"/>
      <c r="B703" s="70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0"/>
      <c r="N703" s="80"/>
      <c r="O703" s="80"/>
      <c r="P703" s="80"/>
      <c r="Q703" s="80"/>
      <c r="R703" s="80"/>
      <c r="S703" s="80"/>
      <c r="T703" s="121"/>
      <c r="U703" s="122"/>
      <c r="V703" s="73"/>
    </row>
    <row r="704" spans="1:22">
      <c r="A704" s="63"/>
      <c r="B704" s="70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0"/>
      <c r="N704" s="80"/>
      <c r="O704" s="80"/>
      <c r="P704" s="80"/>
      <c r="Q704" s="80"/>
      <c r="R704" s="80"/>
      <c r="S704" s="80"/>
      <c r="T704" s="121"/>
      <c r="U704" s="122"/>
      <c r="V704" s="73"/>
    </row>
    <row r="705" spans="1:22">
      <c r="A705" s="63"/>
      <c r="B705" s="70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0"/>
      <c r="N705" s="80"/>
      <c r="O705" s="80"/>
      <c r="P705" s="80"/>
      <c r="Q705" s="80"/>
      <c r="R705" s="80"/>
      <c r="S705" s="80"/>
      <c r="T705" s="121"/>
      <c r="U705" s="122"/>
      <c r="V705" s="73"/>
    </row>
    <row r="706" spans="1:22">
      <c r="A706" s="63"/>
      <c r="B706" s="70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0"/>
      <c r="N706" s="80"/>
      <c r="O706" s="80"/>
      <c r="P706" s="80"/>
      <c r="Q706" s="80"/>
      <c r="R706" s="80"/>
      <c r="S706" s="80"/>
      <c r="T706" s="121"/>
      <c r="U706" s="122"/>
      <c r="V706" s="73"/>
    </row>
    <row r="707" spans="1:22">
      <c r="A707" s="63"/>
      <c r="B707" s="70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  <c r="S707" s="80"/>
      <c r="T707" s="121"/>
      <c r="U707" s="122"/>
      <c r="V707" s="73"/>
    </row>
    <row r="708" spans="1:22">
      <c r="A708" s="63"/>
      <c r="B708" s="70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  <c r="R708" s="80"/>
      <c r="S708" s="80"/>
      <c r="T708" s="121"/>
      <c r="U708" s="122"/>
      <c r="V708" s="73"/>
    </row>
    <row r="709" spans="1:22">
      <c r="A709" s="63"/>
      <c r="B709" s="70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  <c r="R709" s="80"/>
      <c r="S709" s="80"/>
      <c r="T709" s="121"/>
      <c r="U709" s="122"/>
      <c r="V709" s="73"/>
    </row>
    <row r="710" spans="1:22">
      <c r="A710" s="63"/>
      <c r="B710" s="70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  <c r="R710" s="80"/>
      <c r="S710" s="80"/>
      <c r="T710" s="121"/>
      <c r="U710" s="122"/>
      <c r="V710" s="73"/>
    </row>
    <row r="711" spans="1:22">
      <c r="A711" s="63"/>
      <c r="B711" s="70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  <c r="R711" s="80"/>
      <c r="S711" s="80"/>
      <c r="T711" s="121"/>
      <c r="U711" s="122"/>
      <c r="V711" s="73"/>
    </row>
    <row r="712" spans="1:22">
      <c r="A712" s="63"/>
      <c r="B712" s="70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  <c r="R712" s="80"/>
      <c r="S712" s="80"/>
      <c r="T712" s="121"/>
      <c r="U712" s="122"/>
      <c r="V712" s="73"/>
    </row>
    <row r="713" spans="1:22">
      <c r="A713" s="63"/>
      <c r="B713" s="70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  <c r="R713" s="80"/>
      <c r="S713" s="80"/>
      <c r="T713" s="121"/>
      <c r="U713" s="122"/>
      <c r="V713" s="73"/>
    </row>
    <row r="714" spans="1:22">
      <c r="A714" s="63"/>
      <c r="B714" s="70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  <c r="R714" s="80"/>
      <c r="S714" s="80"/>
      <c r="T714" s="121"/>
      <c r="U714" s="122"/>
      <c r="V714" s="73"/>
    </row>
    <row r="715" spans="1:22">
      <c r="A715" s="63"/>
      <c r="B715" s="70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  <c r="S715" s="80"/>
      <c r="T715" s="121"/>
      <c r="U715" s="122"/>
      <c r="V715" s="73"/>
    </row>
    <row r="716" spans="1:22">
      <c r="A716" s="63"/>
      <c r="B716" s="70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  <c r="R716" s="80"/>
      <c r="S716" s="80"/>
      <c r="T716" s="121"/>
      <c r="U716" s="122"/>
      <c r="V716" s="73"/>
    </row>
    <row r="717" spans="1:22">
      <c r="A717" s="63"/>
      <c r="B717" s="70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  <c r="R717" s="80"/>
      <c r="S717" s="80"/>
      <c r="T717" s="121"/>
      <c r="U717" s="122"/>
      <c r="V717" s="73"/>
    </row>
    <row r="718" spans="1:22">
      <c r="A718" s="63"/>
      <c r="B718" s="70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  <c r="R718" s="80"/>
      <c r="S718" s="80"/>
      <c r="T718" s="121"/>
      <c r="U718" s="122"/>
      <c r="V718" s="73"/>
    </row>
    <row r="719" spans="1:22">
      <c r="A719" s="63"/>
      <c r="B719" s="70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  <c r="R719" s="80"/>
      <c r="S719" s="80"/>
      <c r="T719" s="121"/>
      <c r="U719" s="122"/>
      <c r="V719" s="73"/>
    </row>
    <row r="720" spans="1:22">
      <c r="A720" s="63"/>
      <c r="B720" s="70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  <c r="R720" s="80"/>
      <c r="S720" s="80"/>
      <c r="T720" s="121"/>
      <c r="U720" s="122"/>
      <c r="V720" s="73"/>
    </row>
    <row r="721" spans="1:22">
      <c r="A721" s="63"/>
      <c r="B721" s="70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  <c r="R721" s="80"/>
      <c r="S721" s="80"/>
      <c r="T721" s="121"/>
      <c r="U721" s="122"/>
      <c r="V721" s="73"/>
    </row>
    <row r="722" spans="1:22">
      <c r="A722" s="63"/>
      <c r="B722" s="70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  <c r="R722" s="80"/>
      <c r="S722" s="80"/>
      <c r="T722" s="121"/>
      <c r="U722" s="122"/>
      <c r="V722" s="73"/>
    </row>
    <row r="723" spans="1:22">
      <c r="A723" s="63"/>
      <c r="B723" s="70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0"/>
      <c r="N723" s="80"/>
      <c r="O723" s="80"/>
      <c r="P723" s="80"/>
      <c r="Q723" s="80"/>
      <c r="R723" s="80"/>
      <c r="S723" s="80"/>
      <c r="T723" s="121"/>
      <c r="U723" s="122"/>
      <c r="V723" s="73"/>
    </row>
    <row r="724" spans="1:22">
      <c r="A724" s="63"/>
      <c r="B724" s="70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  <c r="S724" s="80"/>
      <c r="T724" s="121"/>
      <c r="U724" s="122"/>
      <c r="V724" s="73"/>
    </row>
    <row r="725" spans="1:22">
      <c r="A725" s="63"/>
      <c r="B725" s="70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0"/>
      <c r="N725" s="80"/>
      <c r="O725" s="80"/>
      <c r="P725" s="80"/>
      <c r="Q725" s="80"/>
      <c r="R725" s="80"/>
      <c r="S725" s="80"/>
      <c r="T725" s="121"/>
      <c r="U725" s="122"/>
      <c r="V725" s="73"/>
    </row>
    <row r="726" spans="1:22">
      <c r="A726" s="63"/>
      <c r="B726" s="70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0"/>
      <c r="N726" s="80"/>
      <c r="O726" s="80"/>
      <c r="P726" s="80"/>
      <c r="Q726" s="80"/>
      <c r="R726" s="80"/>
      <c r="S726" s="80"/>
      <c r="T726" s="121"/>
      <c r="U726" s="122"/>
      <c r="V726" s="73"/>
    </row>
    <row r="727" spans="1:22">
      <c r="A727" s="63"/>
      <c r="B727" s="70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  <c r="S727" s="80"/>
      <c r="T727" s="121"/>
      <c r="U727" s="122"/>
      <c r="V727" s="73"/>
    </row>
    <row r="728" spans="1:22">
      <c r="A728" s="63"/>
      <c r="B728" s="70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0"/>
      <c r="N728" s="80"/>
      <c r="O728" s="80"/>
      <c r="P728" s="80"/>
      <c r="Q728" s="80"/>
      <c r="R728" s="80"/>
      <c r="S728" s="80"/>
      <c r="T728" s="121"/>
      <c r="U728" s="122"/>
      <c r="V728" s="73"/>
    </row>
    <row r="729" spans="1:22">
      <c r="A729" s="63"/>
      <c r="B729" s="70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0"/>
      <c r="N729" s="80"/>
      <c r="O729" s="80"/>
      <c r="P729" s="80"/>
      <c r="Q729" s="80"/>
      <c r="R729" s="80"/>
      <c r="S729" s="80"/>
      <c r="T729" s="121"/>
      <c r="U729" s="122"/>
      <c r="V729" s="73"/>
    </row>
    <row r="730" spans="1:22">
      <c r="A730" s="63"/>
      <c r="B730" s="70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  <c r="S730" s="80"/>
      <c r="T730" s="121"/>
      <c r="U730" s="122"/>
      <c r="V730" s="73"/>
    </row>
    <row r="731" spans="1:22">
      <c r="A731" s="63"/>
      <c r="B731" s="70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0"/>
      <c r="N731" s="80"/>
      <c r="O731" s="80"/>
      <c r="P731" s="80"/>
      <c r="Q731" s="80"/>
      <c r="R731" s="80"/>
      <c r="S731" s="80"/>
      <c r="T731" s="121"/>
      <c r="U731" s="122"/>
      <c r="V731" s="73"/>
    </row>
    <row r="732" spans="1:22">
      <c r="A732" s="63"/>
      <c r="B732" s="70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0"/>
      <c r="N732" s="80"/>
      <c r="O732" s="80"/>
      <c r="P732" s="80"/>
      <c r="Q732" s="80"/>
      <c r="R732" s="80"/>
      <c r="S732" s="80"/>
      <c r="T732" s="121"/>
      <c r="U732" s="122"/>
      <c r="V732" s="73"/>
    </row>
    <row r="733" spans="1:22">
      <c r="A733" s="63"/>
      <c r="B733" s="70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0"/>
      <c r="N733" s="80"/>
      <c r="O733" s="80"/>
      <c r="P733" s="80"/>
      <c r="Q733" s="80"/>
      <c r="R733" s="80"/>
      <c r="S733" s="80"/>
      <c r="T733" s="121"/>
      <c r="U733" s="122"/>
      <c r="V733" s="73"/>
    </row>
    <row r="734" spans="1:22">
      <c r="A734" s="63"/>
      <c r="B734" s="70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0"/>
      <c r="N734" s="80"/>
      <c r="O734" s="80"/>
      <c r="P734" s="80"/>
      <c r="Q734" s="80"/>
      <c r="R734" s="80"/>
      <c r="S734" s="80"/>
      <c r="T734" s="121"/>
      <c r="U734" s="122"/>
      <c r="V734" s="73"/>
    </row>
    <row r="735" spans="1:22">
      <c r="A735" s="63"/>
      <c r="B735" s="70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0"/>
      <c r="N735" s="80"/>
      <c r="O735" s="80"/>
      <c r="P735" s="80"/>
      <c r="Q735" s="80"/>
      <c r="R735" s="80"/>
      <c r="S735" s="80"/>
      <c r="T735" s="121"/>
      <c r="U735" s="122"/>
      <c r="V735" s="73"/>
    </row>
    <row r="736" spans="1:22">
      <c r="A736" s="63"/>
      <c r="B736" s="70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0"/>
      <c r="N736" s="80"/>
      <c r="O736" s="80"/>
      <c r="P736" s="80"/>
      <c r="Q736" s="80"/>
      <c r="R736" s="80"/>
      <c r="S736" s="80"/>
      <c r="T736" s="121"/>
      <c r="U736" s="122"/>
      <c r="V736" s="73"/>
    </row>
    <row r="737" spans="1:22">
      <c r="A737" s="63"/>
      <c r="B737" s="70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0"/>
      <c r="N737" s="80"/>
      <c r="O737" s="80"/>
      <c r="P737" s="80"/>
      <c r="Q737" s="80"/>
      <c r="R737" s="80"/>
      <c r="S737" s="80"/>
      <c r="T737" s="121"/>
      <c r="U737" s="122"/>
      <c r="V737" s="73"/>
    </row>
    <row r="738" spans="1:22">
      <c r="A738" s="63"/>
      <c r="B738" s="70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  <c r="R738" s="80"/>
      <c r="S738" s="80"/>
      <c r="T738" s="121"/>
      <c r="U738" s="122"/>
      <c r="V738" s="73"/>
    </row>
    <row r="739" spans="1:22">
      <c r="A739" s="63"/>
      <c r="B739" s="70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  <c r="R739" s="80"/>
      <c r="S739" s="80"/>
      <c r="T739" s="121"/>
      <c r="U739" s="122"/>
      <c r="V739" s="73"/>
    </row>
    <row r="740" spans="1:22">
      <c r="A740" s="63"/>
      <c r="B740" s="70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  <c r="R740" s="80"/>
      <c r="S740" s="80"/>
      <c r="T740" s="121"/>
      <c r="U740" s="122"/>
      <c r="V740" s="73"/>
    </row>
    <row r="741" spans="1:22">
      <c r="A741" s="63"/>
      <c r="B741" s="70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  <c r="S741" s="80"/>
      <c r="T741" s="121"/>
      <c r="U741" s="122"/>
      <c r="V741" s="73"/>
    </row>
    <row r="742" spans="1:22">
      <c r="A742" s="63"/>
      <c r="B742" s="70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  <c r="R742" s="80"/>
      <c r="S742" s="80"/>
      <c r="T742" s="121"/>
      <c r="U742" s="122"/>
      <c r="V742" s="73"/>
    </row>
    <row r="743" spans="1:22">
      <c r="A743" s="63"/>
      <c r="B743" s="70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  <c r="R743" s="80"/>
      <c r="S743" s="80"/>
      <c r="T743" s="121"/>
      <c r="U743" s="122"/>
      <c r="V743" s="73"/>
    </row>
    <row r="744" spans="1:22">
      <c r="A744" s="63"/>
      <c r="B744" s="70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  <c r="R744" s="80"/>
      <c r="S744" s="80"/>
      <c r="T744" s="121"/>
      <c r="U744" s="122"/>
      <c r="V744" s="73"/>
    </row>
    <row r="745" spans="1:22">
      <c r="A745" s="63"/>
      <c r="B745" s="70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  <c r="R745" s="80"/>
      <c r="S745" s="80"/>
      <c r="T745" s="121"/>
      <c r="U745" s="122"/>
      <c r="V745" s="73"/>
    </row>
    <row r="746" spans="1:22">
      <c r="A746" s="63"/>
      <c r="B746" s="70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  <c r="R746" s="80"/>
      <c r="S746" s="80"/>
      <c r="T746" s="121"/>
      <c r="U746" s="122"/>
      <c r="V746" s="73"/>
    </row>
    <row r="747" spans="1:22">
      <c r="A747" s="63"/>
      <c r="B747" s="70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  <c r="S747" s="80"/>
      <c r="T747" s="121"/>
      <c r="U747" s="122"/>
      <c r="V747" s="73"/>
    </row>
    <row r="748" spans="1:22">
      <c r="A748" s="63"/>
      <c r="B748" s="70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  <c r="R748" s="80"/>
      <c r="S748" s="80"/>
      <c r="T748" s="121"/>
      <c r="U748" s="122"/>
      <c r="V748" s="73"/>
    </row>
    <row r="749" spans="1:22">
      <c r="A749" s="63"/>
      <c r="B749" s="70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  <c r="R749" s="80"/>
      <c r="S749" s="80"/>
      <c r="T749" s="121"/>
      <c r="U749" s="122"/>
      <c r="V749" s="73"/>
    </row>
    <row r="750" spans="1:22">
      <c r="A750" s="63"/>
      <c r="B750" s="70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  <c r="R750" s="80"/>
      <c r="S750" s="80"/>
      <c r="T750" s="121"/>
      <c r="U750" s="122"/>
      <c r="V750" s="73"/>
    </row>
    <row r="751" spans="1:22">
      <c r="A751" s="63"/>
      <c r="B751" s="70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  <c r="R751" s="80"/>
      <c r="S751" s="80"/>
      <c r="T751" s="121"/>
      <c r="U751" s="122"/>
      <c r="V751" s="73"/>
    </row>
    <row r="752" spans="1:22">
      <c r="A752" s="63"/>
      <c r="B752" s="70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  <c r="R752" s="80"/>
      <c r="S752" s="80"/>
      <c r="T752" s="121"/>
      <c r="U752" s="122"/>
      <c r="V752" s="73"/>
    </row>
    <row r="753" spans="1:22">
      <c r="A753" s="63"/>
      <c r="B753" s="70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  <c r="S753" s="80"/>
      <c r="T753" s="121"/>
      <c r="U753" s="122"/>
      <c r="V753" s="73"/>
    </row>
    <row r="754" spans="1:22">
      <c r="A754" s="63"/>
      <c r="B754" s="70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0"/>
      <c r="N754" s="80"/>
      <c r="O754" s="80"/>
      <c r="P754" s="80"/>
      <c r="Q754" s="80"/>
      <c r="R754" s="80"/>
      <c r="S754" s="80"/>
      <c r="T754" s="121"/>
      <c r="U754" s="122"/>
      <c r="V754" s="73"/>
    </row>
    <row r="755" spans="1:22">
      <c r="A755" s="63"/>
      <c r="B755" s="70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0"/>
      <c r="N755" s="80"/>
      <c r="O755" s="80"/>
      <c r="P755" s="80"/>
      <c r="Q755" s="80"/>
      <c r="R755" s="80"/>
      <c r="S755" s="80"/>
      <c r="T755" s="121"/>
      <c r="U755" s="122"/>
      <c r="V755" s="73"/>
    </row>
    <row r="756" spans="1:22">
      <c r="A756" s="63"/>
      <c r="B756" s="70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0"/>
      <c r="N756" s="80"/>
      <c r="O756" s="80"/>
      <c r="P756" s="80"/>
      <c r="Q756" s="80"/>
      <c r="R756" s="80"/>
      <c r="S756" s="80"/>
      <c r="T756" s="121"/>
      <c r="U756" s="122"/>
      <c r="V756" s="73"/>
    </row>
    <row r="757" spans="1:22">
      <c r="A757" s="63"/>
      <c r="B757" s="70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0"/>
      <c r="N757" s="80"/>
      <c r="O757" s="80"/>
      <c r="P757" s="80"/>
      <c r="Q757" s="80"/>
      <c r="R757" s="80"/>
      <c r="S757" s="80"/>
      <c r="T757" s="121"/>
      <c r="U757" s="122"/>
      <c r="V757" s="73"/>
    </row>
    <row r="758" spans="1:22">
      <c r="A758" s="63"/>
      <c r="B758" s="70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  <c r="S758" s="80"/>
      <c r="T758" s="121"/>
      <c r="U758" s="122"/>
      <c r="V758" s="73"/>
    </row>
    <row r="759" spans="1:22">
      <c r="A759" s="63"/>
      <c r="B759" s="70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0"/>
      <c r="N759" s="80"/>
      <c r="O759" s="80"/>
      <c r="P759" s="80"/>
      <c r="Q759" s="80"/>
      <c r="R759" s="80"/>
      <c r="S759" s="80"/>
      <c r="T759" s="121"/>
      <c r="U759" s="122"/>
      <c r="V759" s="73"/>
    </row>
    <row r="760" spans="1:22">
      <c r="A760" s="63"/>
      <c r="B760" s="70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0"/>
      <c r="N760" s="80"/>
      <c r="O760" s="80"/>
      <c r="P760" s="80"/>
      <c r="Q760" s="80"/>
      <c r="R760" s="80"/>
      <c r="S760" s="80"/>
      <c r="T760" s="121"/>
      <c r="U760" s="122"/>
      <c r="V760" s="73"/>
    </row>
    <row r="761" spans="1:22">
      <c r="A761" s="63"/>
      <c r="B761" s="70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0"/>
      <c r="N761" s="80"/>
      <c r="O761" s="80"/>
      <c r="P761" s="80"/>
      <c r="Q761" s="80"/>
      <c r="R761" s="80"/>
      <c r="S761" s="80"/>
      <c r="T761" s="121"/>
      <c r="U761" s="122"/>
      <c r="V761" s="73"/>
    </row>
    <row r="762" spans="1:22">
      <c r="A762" s="63"/>
      <c r="B762" s="70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0"/>
      <c r="N762" s="80"/>
      <c r="O762" s="80"/>
      <c r="P762" s="80"/>
      <c r="Q762" s="80"/>
      <c r="R762" s="80"/>
      <c r="S762" s="80"/>
      <c r="T762" s="121"/>
      <c r="U762" s="122"/>
      <c r="V762" s="73"/>
    </row>
    <row r="763" spans="1:22">
      <c r="A763" s="63"/>
      <c r="B763" s="70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  <c r="S763" s="80"/>
      <c r="T763" s="121"/>
      <c r="U763" s="122"/>
      <c r="V763" s="73"/>
    </row>
    <row r="764" spans="1:22">
      <c r="A764" s="63"/>
      <c r="B764" s="70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0"/>
      <c r="N764" s="80"/>
      <c r="O764" s="80"/>
      <c r="P764" s="80"/>
      <c r="Q764" s="80"/>
      <c r="R764" s="80"/>
      <c r="S764" s="80"/>
      <c r="T764" s="121"/>
      <c r="U764" s="122"/>
      <c r="V764" s="73"/>
    </row>
    <row r="765" spans="1:22">
      <c r="A765" s="63"/>
      <c r="B765" s="70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0"/>
      <c r="N765" s="80"/>
      <c r="O765" s="80"/>
      <c r="P765" s="80"/>
      <c r="Q765" s="80"/>
      <c r="R765" s="80"/>
      <c r="S765" s="80"/>
      <c r="T765" s="121"/>
      <c r="U765" s="122"/>
      <c r="V765" s="73"/>
    </row>
    <row r="766" spans="1:22">
      <c r="A766" s="63"/>
      <c r="B766" s="70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0"/>
      <c r="N766" s="80"/>
      <c r="O766" s="80"/>
      <c r="P766" s="80"/>
      <c r="Q766" s="80"/>
      <c r="R766" s="80"/>
      <c r="S766" s="80"/>
      <c r="T766" s="121"/>
      <c r="U766" s="122"/>
      <c r="V766" s="73"/>
    </row>
    <row r="767" spans="1:22">
      <c r="A767" s="63"/>
      <c r="B767" s="70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  <c r="S767" s="80"/>
      <c r="T767" s="121"/>
      <c r="U767" s="122"/>
      <c r="V767" s="73"/>
    </row>
    <row r="768" spans="1:22">
      <c r="A768" s="63"/>
      <c r="B768" s="70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  <c r="R768" s="80"/>
      <c r="S768" s="80"/>
      <c r="T768" s="121"/>
      <c r="U768" s="122"/>
      <c r="V768" s="73"/>
    </row>
    <row r="769" spans="1:22">
      <c r="A769" s="63"/>
      <c r="B769" s="70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  <c r="R769" s="80"/>
      <c r="S769" s="80"/>
      <c r="T769" s="121"/>
      <c r="U769" s="122"/>
      <c r="V769" s="73"/>
    </row>
    <row r="770" spans="1:22">
      <c r="A770" s="63"/>
      <c r="B770" s="70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  <c r="R770" s="80"/>
      <c r="S770" s="80"/>
      <c r="T770" s="121"/>
      <c r="U770" s="122"/>
      <c r="V770" s="73"/>
    </row>
    <row r="771" spans="1:22">
      <c r="A771" s="63"/>
      <c r="B771" s="70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  <c r="R771" s="80"/>
      <c r="S771" s="80"/>
      <c r="T771" s="121"/>
      <c r="U771" s="122"/>
      <c r="V771" s="73"/>
    </row>
    <row r="772" spans="1:22">
      <c r="A772" s="63"/>
      <c r="B772" s="70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  <c r="R772" s="80"/>
      <c r="S772" s="80"/>
      <c r="T772" s="121"/>
      <c r="U772" s="122"/>
      <c r="V772" s="73"/>
    </row>
    <row r="773" spans="1:22">
      <c r="A773" s="63"/>
      <c r="B773" s="70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  <c r="R773" s="80"/>
      <c r="S773" s="80"/>
      <c r="T773" s="121"/>
      <c r="U773" s="122"/>
      <c r="V773" s="73"/>
    </row>
    <row r="774" spans="1:22">
      <c r="A774" s="63"/>
      <c r="B774" s="70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  <c r="R774" s="80"/>
      <c r="S774" s="80"/>
      <c r="T774" s="121"/>
      <c r="U774" s="122"/>
      <c r="V774" s="73"/>
    </row>
    <row r="775" spans="1:22">
      <c r="A775" s="63"/>
      <c r="B775" s="70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  <c r="R775" s="80"/>
      <c r="S775" s="80"/>
      <c r="T775" s="121"/>
      <c r="U775" s="122"/>
      <c r="V775" s="73"/>
    </row>
    <row r="776" spans="1:22">
      <c r="A776" s="63"/>
      <c r="B776" s="70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  <c r="R776" s="80"/>
      <c r="S776" s="80"/>
      <c r="T776" s="121"/>
      <c r="U776" s="122"/>
      <c r="V776" s="73"/>
    </row>
    <row r="777" spans="1:22">
      <c r="A777" s="63"/>
      <c r="B777" s="70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  <c r="R777" s="80"/>
      <c r="S777" s="80"/>
      <c r="T777" s="121"/>
      <c r="U777" s="122"/>
      <c r="V777" s="73"/>
    </row>
    <row r="778" spans="1:22">
      <c r="A778" s="63"/>
      <c r="B778" s="70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  <c r="R778" s="80"/>
      <c r="S778" s="80"/>
      <c r="T778" s="121"/>
      <c r="U778" s="122"/>
      <c r="V778" s="73"/>
    </row>
    <row r="779" spans="1:22">
      <c r="A779" s="63"/>
      <c r="B779" s="70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  <c r="R779" s="80"/>
      <c r="S779" s="80"/>
      <c r="T779" s="121"/>
      <c r="U779" s="122"/>
      <c r="V779" s="73"/>
    </row>
    <row r="780" spans="1:22">
      <c r="A780" s="63"/>
      <c r="B780" s="70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  <c r="R780" s="80"/>
      <c r="S780" s="80"/>
      <c r="T780" s="121"/>
      <c r="U780" s="122"/>
      <c r="V780" s="73"/>
    </row>
    <row r="781" spans="1:22">
      <c r="A781" s="63"/>
      <c r="B781" s="70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  <c r="R781" s="80"/>
      <c r="S781" s="80"/>
      <c r="T781" s="121"/>
      <c r="U781" s="122"/>
      <c r="V781" s="73"/>
    </row>
    <row r="782" spans="1:22">
      <c r="A782" s="63"/>
      <c r="B782" s="70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  <c r="R782" s="80"/>
      <c r="S782" s="80"/>
      <c r="T782" s="121"/>
      <c r="U782" s="122"/>
      <c r="V782" s="73"/>
    </row>
    <row r="783" spans="1:22">
      <c r="A783" s="63"/>
      <c r="B783" s="70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0"/>
      <c r="N783" s="80"/>
      <c r="O783" s="80"/>
      <c r="P783" s="80"/>
      <c r="Q783" s="80"/>
      <c r="R783" s="80"/>
      <c r="S783" s="80"/>
      <c r="T783" s="121"/>
      <c r="U783" s="122"/>
      <c r="V783" s="73"/>
    </row>
    <row r="784" spans="1:22">
      <c r="A784" s="63"/>
      <c r="B784" s="70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0"/>
      <c r="N784" s="80"/>
      <c r="O784" s="80"/>
      <c r="P784" s="80"/>
      <c r="Q784" s="80"/>
      <c r="R784" s="80"/>
      <c r="S784" s="80"/>
      <c r="T784" s="121"/>
      <c r="U784" s="122"/>
      <c r="V784" s="73"/>
    </row>
    <row r="785" spans="1:22">
      <c r="A785" s="63"/>
      <c r="B785" s="70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0"/>
      <c r="N785" s="80"/>
      <c r="O785" s="80"/>
      <c r="P785" s="80"/>
      <c r="Q785" s="80"/>
      <c r="R785" s="80"/>
      <c r="S785" s="80"/>
      <c r="T785" s="121"/>
      <c r="U785" s="122"/>
      <c r="V785" s="73"/>
    </row>
    <row r="786" spans="1:22">
      <c r="A786" s="63"/>
      <c r="B786" s="70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0"/>
      <c r="N786" s="80"/>
      <c r="O786" s="80"/>
      <c r="P786" s="80"/>
      <c r="Q786" s="80"/>
      <c r="R786" s="80"/>
      <c r="S786" s="80"/>
      <c r="T786" s="121"/>
      <c r="U786" s="122"/>
      <c r="V786" s="73"/>
    </row>
    <row r="787" spans="1:22">
      <c r="A787" s="63"/>
      <c r="B787" s="70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  <c r="S787" s="80"/>
      <c r="T787" s="121"/>
      <c r="U787" s="122"/>
      <c r="V787" s="73"/>
    </row>
    <row r="788" spans="1:22">
      <c r="A788" s="63"/>
      <c r="B788" s="70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0"/>
      <c r="N788" s="80"/>
      <c r="O788" s="80"/>
      <c r="P788" s="80"/>
      <c r="Q788" s="80"/>
      <c r="R788" s="80"/>
      <c r="S788" s="80"/>
      <c r="T788" s="121"/>
      <c r="U788" s="122"/>
      <c r="V788" s="73"/>
    </row>
    <row r="789" spans="1:22">
      <c r="A789" s="63"/>
      <c r="B789" s="70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  <c r="S789" s="80"/>
      <c r="T789" s="121"/>
      <c r="U789" s="122"/>
      <c r="V789" s="73"/>
    </row>
    <row r="790" spans="1:22">
      <c r="A790" s="63"/>
      <c r="B790" s="70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0"/>
      <c r="N790" s="80"/>
      <c r="O790" s="80"/>
      <c r="P790" s="80"/>
      <c r="Q790" s="80"/>
      <c r="R790" s="80"/>
      <c r="S790" s="80"/>
      <c r="T790" s="121"/>
      <c r="U790" s="122"/>
      <c r="V790" s="73"/>
    </row>
    <row r="791" spans="1:22">
      <c r="A791" s="63"/>
      <c r="B791" s="70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0"/>
      <c r="N791" s="80"/>
      <c r="O791" s="80"/>
      <c r="P791" s="80"/>
      <c r="Q791" s="80"/>
      <c r="R791" s="80"/>
      <c r="S791" s="80"/>
      <c r="T791" s="121"/>
      <c r="U791" s="122"/>
      <c r="V791" s="73"/>
    </row>
    <row r="792" spans="1:22">
      <c r="A792" s="63"/>
      <c r="B792" s="70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0"/>
      <c r="N792" s="80"/>
      <c r="O792" s="80"/>
      <c r="P792" s="80"/>
      <c r="Q792" s="80"/>
      <c r="R792" s="80"/>
      <c r="S792" s="80"/>
      <c r="T792" s="121"/>
      <c r="U792" s="122"/>
      <c r="V792" s="73"/>
    </row>
    <row r="793" spans="1:22">
      <c r="A793" s="63"/>
      <c r="B793" s="70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0"/>
      <c r="N793" s="80"/>
      <c r="O793" s="80"/>
      <c r="P793" s="80"/>
      <c r="Q793" s="80"/>
      <c r="R793" s="80"/>
      <c r="S793" s="80"/>
      <c r="T793" s="121"/>
      <c r="U793" s="122"/>
      <c r="V793" s="73"/>
    </row>
    <row r="794" spans="1:22">
      <c r="A794" s="63"/>
      <c r="B794" s="70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121"/>
      <c r="U794" s="122"/>
      <c r="V794" s="73"/>
    </row>
    <row r="795" spans="1:22">
      <c r="A795" s="63"/>
      <c r="B795" s="70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0"/>
      <c r="N795" s="80"/>
      <c r="O795" s="80"/>
      <c r="P795" s="80"/>
      <c r="Q795" s="80"/>
      <c r="R795" s="80"/>
      <c r="S795" s="80"/>
      <c r="T795" s="121"/>
      <c r="U795" s="122"/>
      <c r="V795" s="73"/>
    </row>
    <row r="796" spans="1:22">
      <c r="A796" s="63"/>
      <c r="B796" s="70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0"/>
      <c r="N796" s="80"/>
      <c r="O796" s="80"/>
      <c r="P796" s="80"/>
      <c r="Q796" s="80"/>
      <c r="R796" s="80"/>
      <c r="S796" s="80"/>
      <c r="T796" s="121"/>
      <c r="U796" s="122"/>
      <c r="V796" s="73"/>
    </row>
    <row r="797" spans="1:22">
      <c r="A797" s="63"/>
      <c r="B797" s="70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0"/>
      <c r="N797" s="80"/>
      <c r="O797" s="80"/>
      <c r="P797" s="80"/>
      <c r="Q797" s="80"/>
      <c r="R797" s="80"/>
      <c r="S797" s="80"/>
      <c r="T797" s="121"/>
      <c r="U797" s="122"/>
      <c r="V797" s="73"/>
    </row>
    <row r="798" spans="1:22">
      <c r="A798" s="63"/>
      <c r="B798" s="70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  <c r="R798" s="80"/>
      <c r="S798" s="80"/>
      <c r="T798" s="121"/>
      <c r="U798" s="122"/>
      <c r="V798" s="73"/>
    </row>
    <row r="799" spans="1:22">
      <c r="A799" s="63"/>
      <c r="B799" s="70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  <c r="R799" s="80"/>
      <c r="S799" s="80"/>
      <c r="T799" s="121"/>
      <c r="U799" s="122"/>
      <c r="V799" s="73"/>
    </row>
    <row r="800" spans="1:22">
      <c r="A800" s="63"/>
      <c r="B800" s="70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  <c r="R800" s="80"/>
      <c r="S800" s="80"/>
      <c r="T800" s="121"/>
      <c r="U800" s="122"/>
      <c r="V800" s="73"/>
    </row>
    <row r="801" spans="1:22">
      <c r="A801" s="63"/>
      <c r="B801" s="70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  <c r="R801" s="80"/>
      <c r="S801" s="80"/>
      <c r="T801" s="121"/>
      <c r="U801" s="122"/>
      <c r="V801" s="73"/>
    </row>
    <row r="802" spans="1:22">
      <c r="A802" s="63"/>
      <c r="B802" s="70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  <c r="R802" s="80"/>
      <c r="S802" s="80"/>
      <c r="T802" s="121"/>
      <c r="U802" s="122"/>
      <c r="V802" s="73"/>
    </row>
    <row r="803" spans="1:22">
      <c r="A803" s="63"/>
      <c r="B803" s="70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  <c r="S803" s="80"/>
      <c r="T803" s="121"/>
      <c r="U803" s="122"/>
      <c r="V803" s="73"/>
    </row>
    <row r="804" spans="1:22">
      <c r="A804" s="63"/>
      <c r="B804" s="70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  <c r="R804" s="80"/>
      <c r="S804" s="80"/>
      <c r="T804" s="121"/>
      <c r="U804" s="122"/>
      <c r="V804" s="73"/>
    </row>
    <row r="805" spans="1:22">
      <c r="A805" s="63"/>
      <c r="B805" s="70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  <c r="R805" s="80"/>
      <c r="S805" s="80"/>
      <c r="T805" s="121"/>
      <c r="U805" s="122"/>
      <c r="V805" s="73"/>
    </row>
    <row r="806" spans="1:22">
      <c r="A806" s="63"/>
      <c r="B806" s="70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  <c r="S806" s="80"/>
      <c r="T806" s="121"/>
      <c r="U806" s="122"/>
      <c r="V806" s="73"/>
    </row>
    <row r="807" spans="1:22">
      <c r="A807" s="63"/>
      <c r="B807" s="70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  <c r="R807" s="80"/>
      <c r="S807" s="80"/>
      <c r="T807" s="121"/>
      <c r="U807" s="122"/>
      <c r="V807" s="73"/>
    </row>
    <row r="808" spans="1:22">
      <c r="A808" s="63"/>
      <c r="B808" s="70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  <c r="R808" s="80"/>
      <c r="S808" s="80"/>
      <c r="T808" s="121"/>
      <c r="U808" s="122"/>
      <c r="V808" s="73"/>
    </row>
    <row r="809" spans="1:22">
      <c r="A809" s="63"/>
      <c r="B809" s="70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  <c r="R809" s="80"/>
      <c r="S809" s="80"/>
      <c r="T809" s="121"/>
      <c r="U809" s="122"/>
      <c r="V809" s="73"/>
    </row>
    <row r="810" spans="1:22">
      <c r="A810" s="63"/>
      <c r="B810" s="70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  <c r="S810" s="80"/>
      <c r="T810" s="121"/>
      <c r="U810" s="122"/>
      <c r="V810" s="73"/>
    </row>
    <row r="811" spans="1:22">
      <c r="A811" s="63"/>
      <c r="B811" s="70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  <c r="R811" s="80"/>
      <c r="S811" s="80"/>
      <c r="T811" s="121"/>
      <c r="U811" s="122"/>
      <c r="V811" s="73"/>
    </row>
    <row r="812" spans="1:22">
      <c r="A812" s="63"/>
      <c r="B812" s="70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  <c r="R812" s="80"/>
      <c r="S812" s="80"/>
      <c r="T812" s="121"/>
      <c r="U812" s="122"/>
      <c r="V812" s="73"/>
    </row>
    <row r="813" spans="1:22">
      <c r="A813" s="63"/>
      <c r="B813" s="70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0"/>
      <c r="N813" s="80"/>
      <c r="O813" s="80"/>
      <c r="P813" s="80"/>
      <c r="Q813" s="80"/>
      <c r="R813" s="80"/>
      <c r="S813" s="80"/>
      <c r="T813" s="121"/>
      <c r="U813" s="122"/>
      <c r="V813" s="73"/>
    </row>
    <row r="814" spans="1:22">
      <c r="A814" s="63"/>
      <c r="B814" s="70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0"/>
      <c r="N814" s="80"/>
      <c r="O814" s="80"/>
      <c r="P814" s="80"/>
      <c r="Q814" s="80"/>
      <c r="R814" s="80"/>
      <c r="S814" s="80"/>
      <c r="T814" s="121"/>
      <c r="U814" s="122"/>
      <c r="V814" s="73"/>
    </row>
    <row r="815" spans="1:22">
      <c r="A815" s="63"/>
      <c r="B815" s="70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0"/>
      <c r="N815" s="80"/>
      <c r="O815" s="80"/>
      <c r="P815" s="80"/>
      <c r="Q815" s="80"/>
      <c r="R815" s="80"/>
      <c r="S815" s="80"/>
      <c r="T815" s="121"/>
      <c r="U815" s="122"/>
      <c r="V815" s="73"/>
    </row>
    <row r="816" spans="1:22">
      <c r="A816" s="63"/>
      <c r="B816" s="70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  <c r="R816" s="80"/>
      <c r="S816" s="80"/>
      <c r="T816" s="121"/>
      <c r="U816" s="122"/>
      <c r="V816" s="73"/>
    </row>
    <row r="817" spans="1:22">
      <c r="A817" s="63"/>
      <c r="B817" s="70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  <c r="R817" s="80"/>
      <c r="S817" s="80"/>
      <c r="T817" s="121"/>
      <c r="U817" s="122"/>
      <c r="V817" s="73"/>
    </row>
    <row r="818" spans="1:22">
      <c r="A818" s="63"/>
      <c r="B818" s="70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  <c r="S818" s="80"/>
      <c r="T818" s="121"/>
      <c r="U818" s="122"/>
      <c r="V818" s="73"/>
    </row>
    <row r="819" spans="1:22">
      <c r="A819" s="63"/>
      <c r="B819" s="70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  <c r="R819" s="80"/>
      <c r="S819" s="80"/>
      <c r="T819" s="121"/>
      <c r="U819" s="122"/>
      <c r="V819" s="73"/>
    </row>
    <row r="820" spans="1:22">
      <c r="A820" s="63"/>
      <c r="B820" s="70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  <c r="R820" s="80"/>
      <c r="S820" s="80"/>
      <c r="T820" s="121"/>
      <c r="U820" s="122"/>
      <c r="V820" s="73"/>
    </row>
    <row r="821" spans="1:22">
      <c r="A821" s="63"/>
      <c r="B821" s="70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  <c r="R821" s="80"/>
      <c r="S821" s="80"/>
      <c r="T821" s="121"/>
      <c r="U821" s="122"/>
      <c r="V821" s="73"/>
    </row>
    <row r="822" spans="1:22">
      <c r="A822" s="63"/>
      <c r="B822" s="70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  <c r="R822" s="80"/>
      <c r="S822" s="80"/>
      <c r="T822" s="121"/>
      <c r="U822" s="122"/>
      <c r="V822" s="73"/>
    </row>
    <row r="823" spans="1:22">
      <c r="A823" s="63"/>
      <c r="B823" s="70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  <c r="S823" s="80"/>
      <c r="T823" s="121"/>
      <c r="U823" s="122"/>
      <c r="V823" s="73"/>
    </row>
    <row r="824" spans="1:22">
      <c r="A824" s="63"/>
      <c r="B824" s="70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  <c r="R824" s="80"/>
      <c r="S824" s="80"/>
      <c r="T824" s="121"/>
      <c r="U824" s="122"/>
      <c r="V824" s="73"/>
    </row>
    <row r="825" spans="1:22">
      <c r="A825" s="63"/>
      <c r="B825" s="70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  <c r="R825" s="80"/>
      <c r="S825" s="80"/>
      <c r="T825" s="121"/>
      <c r="U825" s="122"/>
      <c r="V825" s="73"/>
    </row>
    <row r="826" spans="1:22">
      <c r="A826" s="63"/>
      <c r="B826" s="70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  <c r="R826" s="80"/>
      <c r="S826" s="80"/>
      <c r="T826" s="121"/>
      <c r="U826" s="122"/>
      <c r="V826" s="73"/>
    </row>
    <row r="827" spans="1:22">
      <c r="A827" s="63"/>
      <c r="B827" s="70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  <c r="R827" s="80"/>
      <c r="S827" s="80"/>
      <c r="T827" s="121"/>
      <c r="U827" s="122"/>
      <c r="V827" s="73"/>
    </row>
    <row r="828" spans="1:22">
      <c r="A828" s="63"/>
      <c r="B828" s="70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  <c r="R828" s="80"/>
      <c r="S828" s="80"/>
      <c r="T828" s="121"/>
      <c r="U828" s="122"/>
      <c r="V828" s="73"/>
    </row>
    <row r="829" spans="1:22">
      <c r="A829" s="63"/>
      <c r="B829" s="70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  <c r="S829" s="80"/>
      <c r="T829" s="121"/>
      <c r="U829" s="122"/>
      <c r="V829" s="73"/>
    </row>
    <row r="830" spans="1:22">
      <c r="A830" s="63"/>
      <c r="B830" s="70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  <c r="R830" s="80"/>
      <c r="S830" s="80"/>
      <c r="T830" s="121"/>
      <c r="U830" s="122"/>
      <c r="V830" s="73"/>
    </row>
    <row r="831" spans="1:22">
      <c r="A831" s="63"/>
      <c r="B831" s="70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  <c r="R831" s="80"/>
      <c r="S831" s="80"/>
      <c r="T831" s="121"/>
      <c r="U831" s="122"/>
      <c r="V831" s="73"/>
    </row>
    <row r="832" spans="1:22">
      <c r="A832" s="63"/>
      <c r="B832" s="70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  <c r="R832" s="80"/>
      <c r="S832" s="80"/>
      <c r="T832" s="121"/>
      <c r="U832" s="122"/>
      <c r="V832" s="73"/>
    </row>
    <row r="833" spans="1:22">
      <c r="A833" s="63"/>
      <c r="B833" s="70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  <c r="R833" s="80"/>
      <c r="S833" s="80"/>
      <c r="T833" s="121"/>
      <c r="U833" s="122"/>
      <c r="V833" s="73"/>
    </row>
    <row r="834" spans="1:22">
      <c r="A834" s="63"/>
      <c r="B834" s="70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  <c r="R834" s="80"/>
      <c r="S834" s="80"/>
      <c r="T834" s="121"/>
      <c r="U834" s="122"/>
      <c r="V834" s="73"/>
    </row>
    <row r="835" spans="1:22">
      <c r="A835" s="63"/>
      <c r="B835" s="70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  <c r="S835" s="80"/>
      <c r="T835" s="121"/>
      <c r="U835" s="122"/>
      <c r="V835" s="73"/>
    </row>
    <row r="836" spans="1:22">
      <c r="A836" s="63"/>
      <c r="B836" s="70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  <c r="R836" s="80"/>
      <c r="S836" s="80"/>
      <c r="T836" s="121"/>
      <c r="U836" s="122"/>
      <c r="V836" s="73"/>
    </row>
    <row r="837" spans="1:22">
      <c r="A837" s="63"/>
      <c r="B837" s="70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  <c r="R837" s="80"/>
      <c r="S837" s="80"/>
      <c r="T837" s="121"/>
      <c r="U837" s="122"/>
      <c r="V837" s="73"/>
    </row>
    <row r="838" spans="1:22">
      <c r="A838" s="63"/>
      <c r="B838" s="70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  <c r="R838" s="80"/>
      <c r="S838" s="80"/>
      <c r="T838" s="121"/>
      <c r="U838" s="122"/>
      <c r="V838" s="73"/>
    </row>
    <row r="839" spans="1:22">
      <c r="A839" s="63"/>
      <c r="B839" s="70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  <c r="R839" s="80"/>
      <c r="S839" s="80"/>
      <c r="T839" s="121"/>
      <c r="U839" s="122"/>
      <c r="V839" s="73"/>
    </row>
    <row r="840" spans="1:22">
      <c r="A840" s="63"/>
      <c r="B840" s="70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  <c r="S840" s="80"/>
      <c r="T840" s="121"/>
      <c r="U840" s="122"/>
      <c r="V840" s="73"/>
    </row>
    <row r="841" spans="1:22">
      <c r="A841" s="63"/>
      <c r="B841" s="70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  <c r="R841" s="80"/>
      <c r="S841" s="80"/>
      <c r="T841" s="121"/>
      <c r="U841" s="122"/>
      <c r="V841" s="73"/>
    </row>
    <row r="842" spans="1:22">
      <c r="A842" s="63"/>
      <c r="B842" s="70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  <c r="R842" s="80"/>
      <c r="S842" s="80"/>
      <c r="T842" s="121"/>
      <c r="U842" s="122"/>
      <c r="V842" s="73"/>
    </row>
    <row r="843" spans="1:22">
      <c r="A843" s="63"/>
      <c r="B843" s="70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  <c r="R843" s="80"/>
      <c r="S843" s="80"/>
      <c r="T843" s="121"/>
      <c r="U843" s="122"/>
      <c r="V843" s="73"/>
    </row>
    <row r="844" spans="1:22">
      <c r="A844" s="63"/>
      <c r="B844" s="70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  <c r="R844" s="80"/>
      <c r="S844" s="80"/>
      <c r="T844" s="121"/>
      <c r="U844" s="122"/>
      <c r="V844" s="73"/>
    </row>
    <row r="845" spans="1:22">
      <c r="A845" s="63"/>
      <c r="B845" s="70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  <c r="R845" s="80"/>
      <c r="S845" s="80"/>
      <c r="T845" s="121"/>
      <c r="U845" s="122"/>
      <c r="V845" s="73"/>
    </row>
    <row r="846" spans="1:22">
      <c r="A846" s="63"/>
      <c r="B846" s="70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  <c r="S846" s="80"/>
      <c r="T846" s="121"/>
      <c r="U846" s="122"/>
      <c r="V846" s="73"/>
    </row>
    <row r="847" spans="1:22">
      <c r="A847" s="63"/>
      <c r="B847" s="70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  <c r="R847" s="80"/>
      <c r="S847" s="80"/>
      <c r="T847" s="121"/>
      <c r="U847" s="122"/>
      <c r="V847" s="73"/>
    </row>
    <row r="848" spans="1:22">
      <c r="A848" s="63"/>
      <c r="B848" s="70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  <c r="R848" s="80"/>
      <c r="S848" s="80"/>
      <c r="T848" s="121"/>
      <c r="U848" s="122"/>
      <c r="V848" s="73"/>
    </row>
    <row r="849" spans="1:22">
      <c r="A849" s="63"/>
      <c r="B849" s="70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  <c r="S849" s="80"/>
      <c r="T849" s="121"/>
      <c r="U849" s="122"/>
      <c r="V849" s="73"/>
    </row>
    <row r="850" spans="1:22">
      <c r="A850" s="63"/>
      <c r="B850" s="70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  <c r="R850" s="80"/>
      <c r="S850" s="80"/>
      <c r="T850" s="121"/>
      <c r="U850" s="122"/>
      <c r="V850" s="73"/>
    </row>
    <row r="851" spans="1:22">
      <c r="A851" s="63"/>
      <c r="B851" s="70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  <c r="R851" s="80"/>
      <c r="S851" s="80"/>
      <c r="T851" s="121"/>
      <c r="U851" s="122"/>
      <c r="V851" s="73"/>
    </row>
    <row r="852" spans="1:22">
      <c r="A852" s="63"/>
      <c r="B852" s="70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  <c r="R852" s="80"/>
      <c r="S852" s="80"/>
      <c r="T852" s="121"/>
      <c r="U852" s="122"/>
      <c r="V852" s="73"/>
    </row>
    <row r="853" spans="1:22">
      <c r="A853" s="63"/>
      <c r="B853" s="70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  <c r="S853" s="80"/>
      <c r="T853" s="121"/>
      <c r="U853" s="122"/>
      <c r="V853" s="73"/>
    </row>
    <row r="854" spans="1:22">
      <c r="A854" s="63"/>
      <c r="B854" s="70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  <c r="R854" s="80"/>
      <c r="S854" s="80"/>
      <c r="T854" s="121"/>
      <c r="U854" s="122"/>
      <c r="V854" s="73"/>
    </row>
    <row r="855" spans="1:22">
      <c r="A855" s="63"/>
      <c r="B855" s="70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  <c r="R855" s="80"/>
      <c r="S855" s="80"/>
      <c r="T855" s="121"/>
      <c r="U855" s="122"/>
      <c r="V855" s="73"/>
    </row>
    <row r="856" spans="1:22">
      <c r="A856" s="63"/>
      <c r="B856" s="70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  <c r="R856" s="80"/>
      <c r="S856" s="80"/>
      <c r="T856" s="121"/>
      <c r="U856" s="122"/>
      <c r="V856" s="73"/>
    </row>
    <row r="857" spans="1:22">
      <c r="A857" s="63"/>
      <c r="B857" s="70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  <c r="R857" s="80"/>
      <c r="S857" s="80"/>
      <c r="T857" s="121"/>
      <c r="U857" s="122"/>
      <c r="V857" s="73"/>
    </row>
    <row r="858" spans="1:22">
      <c r="A858" s="63"/>
      <c r="B858" s="70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  <c r="R858" s="80"/>
      <c r="S858" s="80"/>
      <c r="T858" s="121"/>
      <c r="U858" s="122"/>
      <c r="V858" s="73"/>
    </row>
    <row r="859" spans="1:22">
      <c r="A859" s="63"/>
      <c r="B859" s="70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  <c r="R859" s="80"/>
      <c r="S859" s="80"/>
      <c r="T859" s="121"/>
      <c r="U859" s="122"/>
      <c r="V859" s="73"/>
    </row>
    <row r="860" spans="1:22">
      <c r="A860" s="63"/>
      <c r="B860" s="70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  <c r="R860" s="80"/>
      <c r="S860" s="80"/>
      <c r="T860" s="121"/>
      <c r="U860" s="122"/>
      <c r="V860" s="73"/>
    </row>
    <row r="861" spans="1:22">
      <c r="A861" s="63"/>
      <c r="B861" s="70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  <c r="R861" s="80"/>
      <c r="S861" s="80"/>
      <c r="T861" s="121"/>
      <c r="U861" s="122"/>
      <c r="V861" s="73"/>
    </row>
    <row r="862" spans="1:22">
      <c r="A862" s="63"/>
      <c r="B862" s="70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  <c r="R862" s="80"/>
      <c r="S862" s="80"/>
      <c r="T862" s="121"/>
      <c r="U862" s="122"/>
      <c r="V862" s="73"/>
    </row>
    <row r="863" spans="1:22">
      <c r="A863" s="63"/>
      <c r="B863" s="70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  <c r="R863" s="80"/>
      <c r="S863" s="80"/>
      <c r="T863" s="121"/>
      <c r="U863" s="122"/>
      <c r="V863" s="73"/>
    </row>
    <row r="864" spans="1:22">
      <c r="A864" s="63"/>
      <c r="B864" s="70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  <c r="R864" s="80"/>
      <c r="S864" s="80"/>
      <c r="T864" s="121"/>
      <c r="U864" s="122"/>
      <c r="V864" s="73"/>
    </row>
    <row r="865" spans="1:22">
      <c r="A865" s="63"/>
      <c r="B865" s="70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  <c r="R865" s="80"/>
      <c r="S865" s="80"/>
      <c r="T865" s="121"/>
      <c r="U865" s="122"/>
      <c r="V865" s="73"/>
    </row>
    <row r="866" spans="1:22">
      <c r="A866" s="63"/>
      <c r="B866" s="70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  <c r="R866" s="80"/>
      <c r="S866" s="80"/>
      <c r="T866" s="121"/>
      <c r="U866" s="122"/>
      <c r="V866" s="73"/>
    </row>
    <row r="867" spans="1:22">
      <c r="A867" s="63"/>
      <c r="B867" s="70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  <c r="R867" s="80"/>
      <c r="S867" s="80"/>
      <c r="T867" s="121"/>
      <c r="U867" s="122"/>
      <c r="V867" s="73"/>
    </row>
    <row r="868" spans="1:22">
      <c r="A868" s="63"/>
      <c r="B868" s="70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  <c r="R868" s="80"/>
      <c r="S868" s="80"/>
      <c r="T868" s="121"/>
      <c r="U868" s="122"/>
      <c r="V868" s="73"/>
    </row>
    <row r="869" spans="1:22">
      <c r="A869" s="63"/>
      <c r="B869" s="70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  <c r="R869" s="80"/>
      <c r="S869" s="80"/>
      <c r="T869" s="121"/>
      <c r="U869" s="122"/>
      <c r="V869" s="73"/>
    </row>
    <row r="870" spans="1:22">
      <c r="A870" s="63"/>
      <c r="B870" s="70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  <c r="R870" s="80"/>
      <c r="S870" s="80"/>
      <c r="T870" s="121"/>
      <c r="U870" s="122"/>
      <c r="V870" s="73"/>
    </row>
    <row r="871" spans="1:22">
      <c r="A871" s="63"/>
      <c r="B871" s="70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  <c r="R871" s="80"/>
      <c r="S871" s="80"/>
      <c r="T871" s="121"/>
      <c r="U871" s="122"/>
      <c r="V871" s="73"/>
    </row>
    <row r="872" spans="1:22">
      <c r="A872" s="63"/>
      <c r="B872" s="70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  <c r="S872" s="80"/>
      <c r="T872" s="121"/>
      <c r="U872" s="122"/>
      <c r="V872" s="73"/>
    </row>
    <row r="873" spans="1:22">
      <c r="A873" s="63"/>
      <c r="B873" s="70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  <c r="R873" s="80"/>
      <c r="S873" s="80"/>
      <c r="T873" s="121"/>
      <c r="U873" s="122"/>
      <c r="V873" s="73"/>
    </row>
    <row r="874" spans="1:22">
      <c r="A874" s="63"/>
      <c r="B874" s="70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  <c r="R874" s="80"/>
      <c r="S874" s="80"/>
      <c r="T874" s="121"/>
      <c r="U874" s="122"/>
      <c r="V874" s="73"/>
    </row>
    <row r="875" spans="1:22">
      <c r="A875" s="63"/>
      <c r="B875" s="70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  <c r="R875" s="80"/>
      <c r="S875" s="80"/>
      <c r="T875" s="121"/>
      <c r="U875" s="122"/>
      <c r="V875" s="73"/>
    </row>
    <row r="876" spans="1:22">
      <c r="A876" s="63"/>
      <c r="B876" s="70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0"/>
      <c r="N876" s="80"/>
      <c r="O876" s="80"/>
      <c r="P876" s="80"/>
      <c r="Q876" s="80"/>
      <c r="R876" s="80"/>
      <c r="S876" s="80"/>
      <c r="T876" s="121"/>
      <c r="U876" s="122"/>
      <c r="V876" s="73"/>
    </row>
    <row r="877" spans="1:22">
      <c r="A877" s="63"/>
      <c r="B877" s="70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0"/>
      <c r="N877" s="80"/>
      <c r="O877" s="80"/>
      <c r="P877" s="80"/>
      <c r="Q877" s="80"/>
      <c r="R877" s="80"/>
      <c r="S877" s="80"/>
      <c r="T877" s="121"/>
      <c r="U877" s="122"/>
      <c r="V877" s="73"/>
    </row>
    <row r="878" spans="1:22">
      <c r="A878" s="63"/>
      <c r="B878" s="70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  <c r="S878" s="80"/>
      <c r="T878" s="121"/>
      <c r="U878" s="122"/>
      <c r="V878" s="73"/>
    </row>
    <row r="879" spans="1:22">
      <c r="A879" s="63"/>
      <c r="B879" s="70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0"/>
      <c r="N879" s="80"/>
      <c r="O879" s="80"/>
      <c r="P879" s="80"/>
      <c r="Q879" s="80"/>
      <c r="R879" s="80"/>
      <c r="S879" s="80"/>
      <c r="T879" s="121"/>
      <c r="U879" s="122"/>
      <c r="V879" s="73"/>
    </row>
    <row r="880" spans="1:22">
      <c r="A880" s="63"/>
      <c r="B880" s="70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0"/>
      <c r="N880" s="80"/>
      <c r="O880" s="80"/>
      <c r="P880" s="80"/>
      <c r="Q880" s="80"/>
      <c r="R880" s="80"/>
      <c r="S880" s="80"/>
      <c r="T880" s="121"/>
      <c r="U880" s="122"/>
      <c r="V880" s="73"/>
    </row>
    <row r="881" spans="1:22">
      <c r="A881" s="63"/>
      <c r="B881" s="70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0"/>
      <c r="N881" s="80"/>
      <c r="O881" s="80"/>
      <c r="P881" s="80"/>
      <c r="Q881" s="80"/>
      <c r="R881" s="80"/>
      <c r="S881" s="80"/>
      <c r="T881" s="121"/>
      <c r="U881" s="122"/>
      <c r="V881" s="73"/>
    </row>
    <row r="882" spans="1:22">
      <c r="A882" s="63"/>
      <c r="B882" s="70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0"/>
      <c r="N882" s="80"/>
      <c r="O882" s="80"/>
      <c r="P882" s="80"/>
      <c r="Q882" s="80"/>
      <c r="R882" s="80"/>
      <c r="S882" s="80"/>
      <c r="T882" s="121"/>
      <c r="U882" s="122"/>
      <c r="V882" s="73"/>
    </row>
    <row r="883" spans="1:22">
      <c r="A883" s="63"/>
      <c r="B883" s="70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0"/>
      <c r="N883" s="80"/>
      <c r="O883" s="80"/>
      <c r="P883" s="80"/>
      <c r="Q883" s="80"/>
      <c r="R883" s="80"/>
      <c r="S883" s="80"/>
      <c r="T883" s="121"/>
      <c r="U883" s="122"/>
      <c r="V883" s="73"/>
    </row>
    <row r="884" spans="1:22">
      <c r="A884" s="63"/>
      <c r="B884" s="70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0"/>
      <c r="N884" s="80"/>
      <c r="O884" s="80"/>
      <c r="P884" s="80"/>
      <c r="Q884" s="80"/>
      <c r="R884" s="80"/>
      <c r="S884" s="80"/>
      <c r="T884" s="121"/>
      <c r="U884" s="122"/>
      <c r="V884" s="73"/>
    </row>
    <row r="885" spans="1:22">
      <c r="A885" s="63"/>
      <c r="B885" s="70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0"/>
      <c r="N885" s="80"/>
      <c r="O885" s="80"/>
      <c r="P885" s="80"/>
      <c r="Q885" s="80"/>
      <c r="R885" s="80"/>
      <c r="S885" s="80"/>
      <c r="T885" s="121"/>
      <c r="U885" s="122"/>
      <c r="V885" s="73"/>
    </row>
    <row r="886" spans="1:22">
      <c r="A886" s="63"/>
      <c r="B886" s="70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0"/>
      <c r="N886" s="80"/>
      <c r="O886" s="80"/>
      <c r="P886" s="80"/>
      <c r="Q886" s="80"/>
      <c r="R886" s="80"/>
      <c r="S886" s="80"/>
      <c r="T886" s="121"/>
      <c r="U886" s="122"/>
      <c r="V886" s="73"/>
    </row>
    <row r="887" spans="1:22">
      <c r="A887" s="63"/>
      <c r="B887" s="70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0"/>
      <c r="N887" s="80"/>
      <c r="O887" s="80"/>
      <c r="P887" s="80"/>
      <c r="Q887" s="80"/>
      <c r="R887" s="80"/>
      <c r="S887" s="80"/>
      <c r="T887" s="121"/>
      <c r="U887" s="122"/>
      <c r="V887" s="73"/>
    </row>
    <row r="888" spans="1:22">
      <c r="A888" s="63"/>
      <c r="B888" s="70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  <c r="R888" s="80"/>
      <c r="S888" s="80"/>
      <c r="T888" s="121"/>
      <c r="U888" s="122"/>
      <c r="V888" s="73"/>
    </row>
    <row r="889" spans="1:22">
      <c r="A889" s="63"/>
      <c r="B889" s="70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  <c r="S889" s="80"/>
      <c r="T889" s="121"/>
      <c r="U889" s="122"/>
      <c r="V889" s="73"/>
    </row>
    <row r="890" spans="1:22">
      <c r="A890" s="63"/>
      <c r="B890" s="70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  <c r="R890" s="80"/>
      <c r="S890" s="80"/>
      <c r="T890" s="121"/>
      <c r="U890" s="122"/>
      <c r="V890" s="73"/>
    </row>
    <row r="891" spans="1:22">
      <c r="A891" s="63"/>
      <c r="B891" s="70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  <c r="R891" s="80"/>
      <c r="S891" s="80"/>
      <c r="T891" s="121"/>
      <c r="U891" s="122"/>
      <c r="V891" s="73"/>
    </row>
    <row r="892" spans="1:22">
      <c r="A892" s="63"/>
      <c r="B892" s="70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  <c r="R892" s="80"/>
      <c r="S892" s="80"/>
      <c r="T892" s="121"/>
      <c r="U892" s="122"/>
      <c r="V892" s="73"/>
    </row>
    <row r="893" spans="1:22">
      <c r="A893" s="63"/>
      <c r="B893" s="70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  <c r="R893" s="80"/>
      <c r="S893" s="80"/>
      <c r="T893" s="121"/>
      <c r="U893" s="122"/>
      <c r="V893" s="73"/>
    </row>
    <row r="894" spans="1:22">
      <c r="A894" s="63"/>
      <c r="B894" s="70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  <c r="R894" s="80"/>
      <c r="S894" s="80"/>
      <c r="T894" s="121"/>
      <c r="U894" s="122"/>
      <c r="V894" s="73"/>
    </row>
    <row r="895" spans="1:22">
      <c r="A895" s="63"/>
      <c r="B895" s="70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  <c r="R895" s="80"/>
      <c r="S895" s="80"/>
      <c r="T895" s="121"/>
      <c r="U895" s="122"/>
      <c r="V895" s="73"/>
    </row>
    <row r="896" spans="1:22">
      <c r="A896" s="63"/>
      <c r="B896" s="70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  <c r="R896" s="80"/>
      <c r="S896" s="80"/>
      <c r="T896" s="121"/>
      <c r="U896" s="122"/>
      <c r="V896" s="73"/>
    </row>
    <row r="897" spans="1:22">
      <c r="A897" s="63"/>
      <c r="B897" s="70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  <c r="R897" s="80"/>
      <c r="S897" s="80"/>
      <c r="T897" s="121"/>
      <c r="U897" s="122"/>
      <c r="V897" s="73"/>
    </row>
    <row r="898" spans="1:22">
      <c r="A898" s="63"/>
      <c r="B898" s="70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  <c r="R898" s="80"/>
      <c r="S898" s="80"/>
      <c r="T898" s="121"/>
      <c r="U898" s="122"/>
      <c r="V898" s="73"/>
    </row>
    <row r="899" spans="1:22">
      <c r="A899" s="63"/>
      <c r="B899" s="70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  <c r="R899" s="80"/>
      <c r="S899" s="80"/>
      <c r="T899" s="121"/>
      <c r="U899" s="122"/>
      <c r="V899" s="73"/>
    </row>
    <row r="900" spans="1:22">
      <c r="A900" s="63"/>
      <c r="B900" s="70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  <c r="R900" s="80"/>
      <c r="S900" s="80"/>
      <c r="T900" s="121"/>
      <c r="U900" s="122"/>
      <c r="V900" s="73"/>
    </row>
    <row r="901" spans="1:22">
      <c r="A901" s="63"/>
      <c r="B901" s="70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  <c r="R901" s="80"/>
      <c r="S901" s="80"/>
      <c r="T901" s="121"/>
      <c r="U901" s="122"/>
      <c r="V901" s="73"/>
    </row>
    <row r="902" spans="1:22">
      <c r="A902" s="63"/>
      <c r="B902" s="70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  <c r="R902" s="80"/>
      <c r="S902" s="80"/>
      <c r="T902" s="121"/>
      <c r="U902" s="122"/>
      <c r="V902" s="73"/>
    </row>
    <row r="903" spans="1:22">
      <c r="A903" s="63"/>
      <c r="B903" s="70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0"/>
      <c r="N903" s="80"/>
      <c r="O903" s="80"/>
      <c r="P903" s="80"/>
      <c r="Q903" s="80"/>
      <c r="R903" s="80"/>
      <c r="S903" s="80"/>
      <c r="T903" s="121"/>
      <c r="U903" s="122"/>
      <c r="V903" s="73"/>
    </row>
    <row r="904" spans="1:22">
      <c r="A904" s="63"/>
      <c r="B904" s="70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0"/>
      <c r="N904" s="80"/>
      <c r="O904" s="80"/>
      <c r="P904" s="80"/>
      <c r="Q904" s="80"/>
      <c r="R904" s="80"/>
      <c r="S904" s="80"/>
      <c r="T904" s="121"/>
      <c r="U904" s="122"/>
      <c r="V904" s="73"/>
    </row>
    <row r="905" spans="1:22">
      <c r="A905" s="63"/>
      <c r="B905" s="70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0"/>
      <c r="N905" s="80"/>
      <c r="O905" s="80"/>
      <c r="P905" s="80"/>
      <c r="Q905" s="80"/>
      <c r="R905" s="80"/>
      <c r="S905" s="80"/>
      <c r="T905" s="121"/>
      <c r="U905" s="122"/>
      <c r="V905" s="73"/>
    </row>
    <row r="906" spans="1:22">
      <c r="A906" s="63"/>
      <c r="B906" s="70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0"/>
      <c r="N906" s="80"/>
      <c r="O906" s="80"/>
      <c r="P906" s="80"/>
      <c r="Q906" s="80"/>
      <c r="R906" s="80"/>
      <c r="S906" s="80"/>
      <c r="T906" s="121"/>
      <c r="U906" s="122"/>
      <c r="V906" s="73"/>
    </row>
    <row r="907" spans="1:22">
      <c r="A907" s="63"/>
      <c r="B907" s="70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0"/>
      <c r="N907" s="80"/>
      <c r="O907" s="80"/>
      <c r="P907" s="80"/>
      <c r="Q907" s="80"/>
      <c r="R907" s="80"/>
      <c r="S907" s="80"/>
      <c r="T907" s="121"/>
      <c r="U907" s="122"/>
      <c r="V907" s="73"/>
    </row>
    <row r="908" spans="1:22">
      <c r="A908" s="63"/>
      <c r="B908" s="70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0"/>
      <c r="N908" s="80"/>
      <c r="O908" s="80"/>
      <c r="P908" s="80"/>
      <c r="Q908" s="80"/>
      <c r="R908" s="80"/>
      <c r="S908" s="80"/>
      <c r="T908" s="121"/>
      <c r="U908" s="122"/>
      <c r="V908" s="73"/>
    </row>
    <row r="909" spans="1:22">
      <c r="A909" s="63"/>
      <c r="B909" s="70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  <c r="S909" s="80"/>
      <c r="T909" s="121"/>
      <c r="U909" s="122"/>
      <c r="V909" s="73"/>
    </row>
    <row r="910" spans="1:22">
      <c r="A910" s="63"/>
      <c r="B910" s="70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0"/>
      <c r="N910" s="80"/>
      <c r="O910" s="80"/>
      <c r="P910" s="80"/>
      <c r="Q910" s="80"/>
      <c r="R910" s="80"/>
      <c r="S910" s="80"/>
      <c r="T910" s="121"/>
      <c r="U910" s="122"/>
      <c r="V910" s="73"/>
    </row>
    <row r="911" spans="1:22">
      <c r="A911" s="63"/>
      <c r="B911" s="70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0"/>
      <c r="N911" s="80"/>
      <c r="O911" s="80"/>
      <c r="P911" s="80"/>
      <c r="Q911" s="80"/>
      <c r="R911" s="80"/>
      <c r="S911" s="80"/>
      <c r="T911" s="121"/>
      <c r="U911" s="122"/>
      <c r="V911" s="73"/>
    </row>
    <row r="912" spans="1:22">
      <c r="A912" s="63"/>
      <c r="B912" s="70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0"/>
      <c r="N912" s="80"/>
      <c r="O912" s="80"/>
      <c r="P912" s="80"/>
      <c r="Q912" s="80"/>
      <c r="R912" s="80"/>
      <c r="S912" s="80"/>
      <c r="T912" s="121"/>
      <c r="U912" s="122"/>
      <c r="V912" s="73"/>
    </row>
    <row r="913" spans="1:22">
      <c r="A913" s="63"/>
      <c r="B913" s="70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0"/>
      <c r="N913" s="80"/>
      <c r="O913" s="80"/>
      <c r="P913" s="80"/>
      <c r="Q913" s="80"/>
      <c r="R913" s="80"/>
      <c r="S913" s="80"/>
      <c r="T913" s="121"/>
      <c r="U913" s="122"/>
      <c r="V913" s="73"/>
    </row>
    <row r="914" spans="1:22">
      <c r="A914" s="63"/>
      <c r="B914" s="70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0"/>
      <c r="N914" s="80"/>
      <c r="O914" s="80"/>
      <c r="P914" s="80"/>
      <c r="Q914" s="80"/>
      <c r="R914" s="80"/>
      <c r="S914" s="80"/>
      <c r="T914" s="121"/>
      <c r="U914" s="122"/>
      <c r="V914" s="73"/>
    </row>
    <row r="915" spans="1:22">
      <c r="A915" s="63"/>
      <c r="B915" s="70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  <c r="S915" s="80"/>
      <c r="T915" s="121"/>
      <c r="U915" s="122"/>
      <c r="V915" s="73"/>
    </row>
    <row r="916" spans="1:22">
      <c r="A916" s="63"/>
      <c r="B916" s="70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0"/>
      <c r="N916" s="80"/>
      <c r="O916" s="80"/>
      <c r="P916" s="80"/>
      <c r="Q916" s="80"/>
      <c r="R916" s="80"/>
      <c r="S916" s="80"/>
      <c r="T916" s="121"/>
      <c r="U916" s="122"/>
      <c r="V916" s="73"/>
    </row>
    <row r="917" spans="1:22">
      <c r="A917" s="63"/>
      <c r="B917" s="70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0"/>
      <c r="N917" s="80"/>
      <c r="O917" s="80"/>
      <c r="P917" s="80"/>
      <c r="Q917" s="80"/>
      <c r="R917" s="80"/>
      <c r="S917" s="80"/>
      <c r="T917" s="121"/>
      <c r="U917" s="122"/>
      <c r="V917" s="73"/>
    </row>
    <row r="918" spans="1:22">
      <c r="A918" s="63"/>
      <c r="B918" s="70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  <c r="R918" s="80"/>
      <c r="S918" s="80"/>
      <c r="T918" s="121"/>
      <c r="U918" s="122"/>
      <c r="V918" s="73"/>
    </row>
    <row r="919" spans="1:22">
      <c r="A919" s="63"/>
      <c r="B919" s="70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  <c r="R919" s="80"/>
      <c r="S919" s="80"/>
      <c r="T919" s="121"/>
      <c r="U919" s="122"/>
      <c r="V919" s="73"/>
    </row>
    <row r="920" spans="1:22">
      <c r="A920" s="63"/>
      <c r="B920" s="70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  <c r="R920" s="80"/>
      <c r="S920" s="80"/>
      <c r="T920" s="121"/>
      <c r="U920" s="122"/>
      <c r="V920" s="73"/>
    </row>
    <row r="921" spans="1:22">
      <c r="A921" s="63"/>
      <c r="B921" s="70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  <c r="R921" s="80"/>
      <c r="S921" s="80"/>
      <c r="T921" s="121"/>
      <c r="U921" s="122"/>
      <c r="V921" s="73"/>
    </row>
    <row r="922" spans="1:22">
      <c r="A922" s="63"/>
      <c r="B922" s="70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  <c r="R922" s="80"/>
      <c r="S922" s="80"/>
      <c r="T922" s="121"/>
      <c r="U922" s="122"/>
      <c r="V922" s="73"/>
    </row>
    <row r="923" spans="1:22">
      <c r="A923" s="63"/>
      <c r="B923" s="70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  <c r="R923" s="80"/>
      <c r="S923" s="80"/>
      <c r="T923" s="121"/>
      <c r="U923" s="122"/>
      <c r="V923" s="73"/>
    </row>
    <row r="924" spans="1:22">
      <c r="A924" s="63"/>
      <c r="B924" s="70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  <c r="R924" s="80"/>
      <c r="S924" s="80"/>
      <c r="T924" s="121"/>
      <c r="U924" s="122"/>
      <c r="V924" s="73"/>
    </row>
    <row r="925" spans="1:22">
      <c r="A925" s="63"/>
      <c r="B925" s="70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  <c r="R925" s="80"/>
      <c r="S925" s="80"/>
      <c r="T925" s="121"/>
      <c r="U925" s="122"/>
      <c r="V925" s="73"/>
    </row>
    <row r="926" spans="1:22">
      <c r="A926" s="63"/>
      <c r="B926" s="70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  <c r="R926" s="80"/>
      <c r="S926" s="80"/>
      <c r="T926" s="121"/>
      <c r="U926" s="122"/>
      <c r="V926" s="73"/>
    </row>
    <row r="927" spans="1:22">
      <c r="A927" s="63"/>
      <c r="B927" s="70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  <c r="R927" s="80"/>
      <c r="S927" s="80"/>
      <c r="T927" s="121"/>
      <c r="U927" s="122"/>
      <c r="V927" s="73"/>
    </row>
    <row r="928" spans="1:22">
      <c r="A928" s="63"/>
      <c r="B928" s="70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  <c r="R928" s="80"/>
      <c r="S928" s="80"/>
      <c r="T928" s="121"/>
      <c r="U928" s="122"/>
      <c r="V928" s="73"/>
    </row>
    <row r="929" spans="1:22">
      <c r="A929" s="63"/>
      <c r="B929" s="70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  <c r="R929" s="80"/>
      <c r="S929" s="80"/>
      <c r="T929" s="121"/>
      <c r="U929" s="122"/>
      <c r="V929" s="73"/>
    </row>
    <row r="930" spans="1:22">
      <c r="A930" s="63"/>
      <c r="B930" s="70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  <c r="R930" s="80"/>
      <c r="S930" s="80"/>
      <c r="T930" s="121"/>
      <c r="U930" s="122"/>
      <c r="V930" s="73"/>
    </row>
    <row r="931" spans="1:22">
      <c r="A931" s="63"/>
      <c r="B931" s="70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  <c r="R931" s="80"/>
      <c r="S931" s="80"/>
      <c r="T931" s="121"/>
      <c r="U931" s="122"/>
      <c r="V931" s="73"/>
    </row>
    <row r="932" spans="1:22">
      <c r="A932" s="63"/>
      <c r="B932" s="70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  <c r="R932" s="80"/>
      <c r="S932" s="80"/>
      <c r="T932" s="121"/>
      <c r="U932" s="122"/>
      <c r="V932" s="73"/>
    </row>
    <row r="933" spans="1:22">
      <c r="A933" s="63"/>
      <c r="B933" s="70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  <c r="S933" s="80"/>
      <c r="T933" s="121"/>
      <c r="U933" s="122"/>
      <c r="V933" s="73"/>
    </row>
    <row r="934" spans="1:22">
      <c r="A934" s="63"/>
      <c r="B934" s="70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0"/>
      <c r="N934" s="80"/>
      <c r="O934" s="80"/>
      <c r="P934" s="80"/>
      <c r="Q934" s="80"/>
      <c r="R934" s="80"/>
      <c r="S934" s="80"/>
      <c r="T934" s="121"/>
      <c r="U934" s="122"/>
      <c r="V934" s="73"/>
    </row>
    <row r="935" spans="1:22">
      <c r="A935" s="63"/>
      <c r="B935" s="70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0"/>
      <c r="N935" s="80"/>
      <c r="O935" s="80"/>
      <c r="P935" s="80"/>
      <c r="Q935" s="80"/>
      <c r="R935" s="80"/>
      <c r="S935" s="80"/>
      <c r="T935" s="121"/>
      <c r="U935" s="122"/>
      <c r="V935" s="73"/>
    </row>
    <row r="936" spans="1:22">
      <c r="A936" s="63"/>
      <c r="B936" s="70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  <c r="S936" s="80"/>
      <c r="T936" s="121"/>
      <c r="U936" s="122"/>
      <c r="V936" s="73"/>
    </row>
    <row r="937" spans="1:22">
      <c r="A937" s="63"/>
      <c r="B937" s="70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0"/>
      <c r="N937" s="80"/>
      <c r="O937" s="80"/>
      <c r="P937" s="80"/>
      <c r="Q937" s="80"/>
      <c r="R937" s="80"/>
      <c r="S937" s="80"/>
      <c r="T937" s="121"/>
      <c r="U937" s="122"/>
      <c r="V937" s="73"/>
    </row>
    <row r="938" spans="1:22">
      <c r="A938" s="63"/>
      <c r="B938" s="70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0"/>
      <c r="N938" s="80"/>
      <c r="O938" s="80"/>
      <c r="P938" s="80"/>
      <c r="Q938" s="80"/>
      <c r="R938" s="80"/>
      <c r="S938" s="80"/>
      <c r="T938" s="121"/>
      <c r="U938" s="122"/>
      <c r="V938" s="73"/>
    </row>
    <row r="939" spans="1:22">
      <c r="A939" s="63"/>
      <c r="B939" s="70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0"/>
      <c r="N939" s="80"/>
      <c r="O939" s="80"/>
      <c r="P939" s="80"/>
      <c r="Q939" s="80"/>
      <c r="R939" s="80"/>
      <c r="S939" s="80"/>
      <c r="T939" s="121"/>
      <c r="U939" s="122"/>
      <c r="V939" s="73"/>
    </row>
    <row r="940" spans="1:22">
      <c r="A940" s="63"/>
      <c r="B940" s="70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  <c r="S940" s="80"/>
      <c r="T940" s="121"/>
      <c r="U940" s="122"/>
      <c r="V940" s="73"/>
    </row>
    <row r="941" spans="1:22">
      <c r="A941" s="63"/>
      <c r="B941" s="70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0"/>
      <c r="N941" s="80"/>
      <c r="O941" s="80"/>
      <c r="P941" s="80"/>
      <c r="Q941" s="80"/>
      <c r="R941" s="80"/>
      <c r="S941" s="80"/>
      <c r="T941" s="121"/>
      <c r="U941" s="122"/>
      <c r="V941" s="73"/>
    </row>
    <row r="942" spans="1:22">
      <c r="A942" s="63"/>
      <c r="B942" s="70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0"/>
      <c r="N942" s="80"/>
      <c r="O942" s="80"/>
      <c r="P942" s="80"/>
      <c r="Q942" s="80"/>
      <c r="R942" s="80"/>
      <c r="S942" s="80"/>
      <c r="T942" s="121"/>
      <c r="U942" s="122"/>
      <c r="V942" s="73"/>
    </row>
    <row r="943" spans="1:22">
      <c r="A943" s="63"/>
      <c r="B943" s="70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  <c r="S943" s="80"/>
      <c r="T943" s="121"/>
      <c r="U943" s="122"/>
      <c r="V943" s="73"/>
    </row>
    <row r="944" spans="1:22">
      <c r="A944" s="63"/>
      <c r="B944" s="70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0"/>
      <c r="N944" s="80"/>
      <c r="O944" s="80"/>
      <c r="P944" s="80"/>
      <c r="Q944" s="80"/>
      <c r="R944" s="80"/>
      <c r="S944" s="80"/>
      <c r="T944" s="121"/>
      <c r="U944" s="122"/>
      <c r="V944" s="73"/>
    </row>
    <row r="945" spans="1:22">
      <c r="A945" s="63"/>
      <c r="B945" s="70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0"/>
      <c r="N945" s="80"/>
      <c r="O945" s="80"/>
      <c r="P945" s="80"/>
      <c r="Q945" s="80"/>
      <c r="R945" s="80"/>
      <c r="S945" s="80"/>
      <c r="T945" s="121"/>
      <c r="U945" s="122"/>
      <c r="V945" s="73"/>
    </row>
    <row r="946" spans="1:22">
      <c r="A946" s="63"/>
      <c r="B946" s="70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0"/>
      <c r="N946" s="80"/>
      <c r="O946" s="80"/>
      <c r="P946" s="80"/>
      <c r="Q946" s="80"/>
      <c r="R946" s="80"/>
      <c r="S946" s="80"/>
      <c r="T946" s="121"/>
      <c r="U946" s="122"/>
      <c r="V946" s="73"/>
    </row>
    <row r="947" spans="1:22">
      <c r="A947" s="63"/>
      <c r="B947" s="70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0"/>
      <c r="N947" s="80"/>
      <c r="O947" s="80"/>
      <c r="P947" s="80"/>
      <c r="Q947" s="80"/>
      <c r="R947" s="80"/>
      <c r="S947" s="80"/>
      <c r="T947" s="121"/>
      <c r="U947" s="122"/>
      <c r="V947" s="73"/>
    </row>
    <row r="948" spans="1:22">
      <c r="A948" s="63"/>
      <c r="B948" s="70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  <c r="R948" s="80"/>
      <c r="S948" s="80"/>
      <c r="T948" s="121"/>
      <c r="U948" s="122"/>
      <c r="V948" s="73"/>
    </row>
    <row r="949" spans="1:22">
      <c r="A949" s="63"/>
      <c r="B949" s="70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  <c r="R949" s="80"/>
      <c r="S949" s="80"/>
      <c r="T949" s="121"/>
      <c r="U949" s="122"/>
      <c r="V949" s="73"/>
    </row>
    <row r="950" spans="1:22">
      <c r="A950" s="63"/>
      <c r="B950" s="70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  <c r="R950" s="80"/>
      <c r="S950" s="80"/>
      <c r="T950" s="121"/>
      <c r="U950" s="122"/>
      <c r="V950" s="73"/>
    </row>
    <row r="951" spans="1:22">
      <c r="A951" s="63"/>
      <c r="B951" s="70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  <c r="S951" s="80"/>
      <c r="T951" s="121"/>
      <c r="U951" s="122"/>
      <c r="V951" s="73"/>
    </row>
    <row r="952" spans="1:22">
      <c r="A952" s="63"/>
      <c r="B952" s="70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  <c r="R952" s="80"/>
      <c r="S952" s="80"/>
      <c r="T952" s="121"/>
      <c r="U952" s="122"/>
      <c r="V952" s="73"/>
    </row>
    <row r="953" spans="1:22">
      <c r="A953" s="63"/>
      <c r="B953" s="70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  <c r="R953" s="80"/>
      <c r="S953" s="80"/>
      <c r="T953" s="121"/>
      <c r="U953" s="122"/>
      <c r="V953" s="73"/>
    </row>
    <row r="954" spans="1:22">
      <c r="A954" s="63"/>
      <c r="B954" s="70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  <c r="R954" s="80"/>
      <c r="S954" s="80"/>
      <c r="T954" s="121"/>
      <c r="U954" s="122"/>
      <c r="V954" s="73"/>
    </row>
    <row r="955" spans="1:22">
      <c r="A955" s="63"/>
      <c r="B955" s="70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  <c r="S955" s="80"/>
      <c r="T955" s="121"/>
      <c r="U955" s="122"/>
      <c r="V955" s="73"/>
    </row>
    <row r="956" spans="1:22">
      <c r="A956" s="63"/>
      <c r="B956" s="70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  <c r="R956" s="80"/>
      <c r="S956" s="80"/>
      <c r="T956" s="121"/>
      <c r="U956" s="122"/>
      <c r="V956" s="73"/>
    </row>
    <row r="957" spans="1:22">
      <c r="A957" s="63"/>
      <c r="B957" s="70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  <c r="R957" s="80"/>
      <c r="S957" s="80"/>
      <c r="T957" s="121"/>
      <c r="U957" s="122"/>
      <c r="V957" s="73"/>
    </row>
    <row r="958" spans="1:22">
      <c r="A958" s="63"/>
      <c r="B958" s="70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  <c r="R958" s="80"/>
      <c r="S958" s="80"/>
      <c r="T958" s="121"/>
      <c r="U958" s="122"/>
      <c r="V958" s="73"/>
    </row>
    <row r="959" spans="1:22">
      <c r="A959" s="63"/>
      <c r="B959" s="70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  <c r="R959" s="80"/>
      <c r="S959" s="80"/>
      <c r="T959" s="121"/>
      <c r="U959" s="122"/>
      <c r="V959" s="73"/>
    </row>
    <row r="960" spans="1:22">
      <c r="A960" s="63"/>
      <c r="B960" s="70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  <c r="R960" s="80"/>
      <c r="S960" s="80"/>
      <c r="T960" s="121"/>
      <c r="U960" s="122"/>
      <c r="V960" s="73"/>
    </row>
    <row r="961" spans="1:22">
      <c r="A961" s="63"/>
      <c r="B961" s="70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  <c r="R961" s="80"/>
      <c r="S961" s="80"/>
      <c r="T961" s="121"/>
      <c r="U961" s="122"/>
      <c r="V961" s="73"/>
    </row>
    <row r="962" spans="1:22">
      <c r="A962" s="63"/>
      <c r="B962" s="70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  <c r="S962" s="80"/>
      <c r="T962" s="121"/>
      <c r="U962" s="122"/>
      <c r="V962" s="73"/>
    </row>
    <row r="963" spans="1:22">
      <c r="A963" s="63"/>
      <c r="B963" s="70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0"/>
      <c r="N963" s="80"/>
      <c r="O963" s="80"/>
      <c r="P963" s="80"/>
      <c r="Q963" s="80"/>
      <c r="R963" s="80"/>
      <c r="S963" s="80"/>
      <c r="T963" s="121"/>
      <c r="U963" s="122"/>
      <c r="V963" s="73"/>
    </row>
    <row r="964" spans="1:22">
      <c r="A964" s="63"/>
      <c r="B964" s="70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0"/>
      <c r="N964" s="80"/>
      <c r="O964" s="80"/>
      <c r="P964" s="80"/>
      <c r="Q964" s="80"/>
      <c r="R964" s="80"/>
      <c r="S964" s="80"/>
      <c r="T964" s="121"/>
      <c r="U964" s="122"/>
      <c r="V964" s="73"/>
    </row>
    <row r="965" spans="1:22">
      <c r="A965" s="63"/>
      <c r="B965" s="70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0"/>
      <c r="N965" s="80"/>
      <c r="O965" s="80"/>
      <c r="P965" s="80"/>
      <c r="Q965" s="80"/>
      <c r="R965" s="80"/>
      <c r="S965" s="80"/>
      <c r="T965" s="121"/>
      <c r="U965" s="122"/>
      <c r="V965" s="73"/>
    </row>
    <row r="966" spans="1:22">
      <c r="A966" s="63"/>
      <c r="B966" s="70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  <c r="S966" s="80"/>
      <c r="T966" s="121"/>
      <c r="U966" s="122"/>
      <c r="V966" s="73"/>
    </row>
    <row r="967" spans="1:22">
      <c r="A967" s="63"/>
      <c r="B967" s="70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0"/>
      <c r="N967" s="80"/>
      <c r="O967" s="80"/>
      <c r="P967" s="80"/>
      <c r="Q967" s="80"/>
      <c r="R967" s="80"/>
      <c r="S967" s="80"/>
      <c r="T967" s="121"/>
      <c r="U967" s="122"/>
      <c r="V967" s="73"/>
    </row>
    <row r="968" spans="1:22">
      <c r="A968" s="63"/>
      <c r="B968" s="70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0"/>
      <c r="N968" s="80"/>
      <c r="O968" s="80"/>
      <c r="P968" s="80"/>
      <c r="Q968" s="80"/>
      <c r="R968" s="80"/>
      <c r="S968" s="80"/>
      <c r="T968" s="121"/>
      <c r="U968" s="122"/>
      <c r="V968" s="73"/>
    </row>
    <row r="969" spans="1:22">
      <c r="A969" s="63"/>
      <c r="B969" s="70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0"/>
      <c r="N969" s="80"/>
      <c r="O969" s="80"/>
      <c r="P969" s="80"/>
      <c r="Q969" s="80"/>
      <c r="R969" s="80"/>
      <c r="S969" s="80"/>
      <c r="T969" s="121"/>
      <c r="U969" s="122"/>
      <c r="V969" s="73"/>
    </row>
    <row r="970" spans="1:22">
      <c r="A970" s="63"/>
      <c r="B970" s="70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  <c r="S970" s="80"/>
      <c r="T970" s="121"/>
      <c r="U970" s="122"/>
      <c r="V970" s="73"/>
    </row>
    <row r="971" spans="1:22">
      <c r="A971" s="63"/>
      <c r="B971" s="70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0"/>
      <c r="N971" s="80"/>
      <c r="O971" s="80"/>
      <c r="P971" s="80"/>
      <c r="Q971" s="80"/>
      <c r="R971" s="80"/>
      <c r="S971" s="80"/>
      <c r="T971" s="121"/>
      <c r="U971" s="122"/>
      <c r="V971" s="73"/>
    </row>
    <row r="972" spans="1:22">
      <c r="A972" s="63"/>
      <c r="B972" s="70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0"/>
      <c r="N972" s="80"/>
      <c r="O972" s="80"/>
      <c r="P972" s="80"/>
      <c r="Q972" s="80"/>
      <c r="R972" s="80"/>
      <c r="S972" s="80"/>
      <c r="T972" s="121"/>
      <c r="U972" s="122"/>
      <c r="V972" s="73"/>
    </row>
    <row r="973" spans="1:22">
      <c r="A973" s="63"/>
      <c r="B973" s="70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0"/>
      <c r="N973" s="80"/>
      <c r="O973" s="80"/>
      <c r="P973" s="80"/>
      <c r="Q973" s="80"/>
      <c r="R973" s="80"/>
      <c r="S973" s="80"/>
      <c r="T973" s="121"/>
      <c r="U973" s="122"/>
      <c r="V973" s="73"/>
    </row>
    <row r="974" spans="1:22">
      <c r="A974" s="63"/>
      <c r="B974" s="70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0"/>
      <c r="N974" s="80"/>
      <c r="O974" s="80"/>
      <c r="P974" s="80"/>
      <c r="Q974" s="80"/>
      <c r="R974" s="80"/>
      <c r="S974" s="80"/>
      <c r="T974" s="121"/>
      <c r="U974" s="122"/>
      <c r="V974" s="73"/>
    </row>
    <row r="975" spans="1:22">
      <c r="A975" s="63"/>
      <c r="B975" s="70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0"/>
      <c r="N975" s="80"/>
      <c r="O975" s="80"/>
      <c r="P975" s="80"/>
      <c r="Q975" s="80"/>
      <c r="R975" s="80"/>
      <c r="S975" s="80"/>
      <c r="T975" s="121"/>
      <c r="U975" s="122"/>
      <c r="V975" s="73"/>
    </row>
    <row r="976" spans="1:22">
      <c r="A976" s="63"/>
      <c r="B976" s="70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0"/>
      <c r="N976" s="80"/>
      <c r="O976" s="80"/>
      <c r="P976" s="80"/>
      <c r="Q976" s="80"/>
      <c r="R976" s="80"/>
      <c r="S976" s="80"/>
      <c r="T976" s="121"/>
      <c r="U976" s="122"/>
      <c r="V976" s="73"/>
    </row>
    <row r="977" spans="1:22">
      <c r="A977" s="63"/>
      <c r="B977" s="70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0"/>
      <c r="N977" s="80"/>
      <c r="O977" s="80"/>
      <c r="P977" s="80"/>
      <c r="Q977" s="80"/>
      <c r="R977" s="80"/>
      <c r="S977" s="80"/>
      <c r="T977" s="121"/>
      <c r="U977" s="122"/>
      <c r="V977" s="73"/>
    </row>
    <row r="978" spans="1:22">
      <c r="A978" s="63"/>
      <c r="B978" s="70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  <c r="S978" s="80"/>
      <c r="T978" s="121"/>
      <c r="U978" s="122"/>
      <c r="V978" s="73"/>
    </row>
    <row r="979" spans="1:22">
      <c r="A979" s="63"/>
      <c r="B979" s="70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  <c r="R979" s="80"/>
      <c r="S979" s="80"/>
      <c r="T979" s="121"/>
      <c r="U979" s="122"/>
      <c r="V979" s="73"/>
    </row>
    <row r="980" spans="1:22">
      <c r="A980" s="63"/>
      <c r="B980" s="70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  <c r="R980" s="80"/>
      <c r="S980" s="80"/>
      <c r="T980" s="121"/>
      <c r="U980" s="122"/>
      <c r="V980" s="73"/>
    </row>
    <row r="981" spans="1:22">
      <c r="A981" s="63"/>
      <c r="B981" s="70"/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  <c r="R981" s="80"/>
      <c r="S981" s="80"/>
      <c r="T981" s="121"/>
      <c r="U981" s="122"/>
      <c r="V981" s="73"/>
    </row>
    <row r="982" spans="1:22">
      <c r="A982" s="63"/>
      <c r="B982" s="70"/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  <c r="S982" s="80"/>
      <c r="T982" s="121"/>
      <c r="U982" s="122"/>
      <c r="V982" s="73"/>
    </row>
    <row r="983" spans="1:22">
      <c r="A983" s="63"/>
      <c r="B983" s="70"/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  <c r="R983" s="80"/>
      <c r="S983" s="80"/>
      <c r="T983" s="121"/>
      <c r="U983" s="122"/>
      <c r="V983" s="73"/>
    </row>
    <row r="984" spans="1:22">
      <c r="A984" s="63"/>
      <c r="B984" s="70"/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  <c r="R984" s="80"/>
      <c r="S984" s="80"/>
      <c r="T984" s="121"/>
      <c r="U984" s="122"/>
      <c r="V984" s="73"/>
    </row>
    <row r="985" spans="1:22">
      <c r="A985" s="63"/>
      <c r="B985" s="70"/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121"/>
      <c r="U985" s="122"/>
      <c r="V985" s="73"/>
    </row>
    <row r="986" spans="1:22">
      <c r="A986" s="63"/>
      <c r="B986" s="70"/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  <c r="S986" s="80"/>
      <c r="T986" s="121"/>
      <c r="U986" s="122"/>
      <c r="V986" s="73"/>
    </row>
    <row r="987" spans="1:22">
      <c r="A987" s="63"/>
      <c r="B987" s="70"/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  <c r="R987" s="80"/>
      <c r="S987" s="80"/>
      <c r="T987" s="121"/>
      <c r="U987" s="122"/>
      <c r="V987" s="73"/>
    </row>
    <row r="988" spans="1:22">
      <c r="A988" s="63"/>
      <c r="B988" s="70"/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  <c r="R988" s="80"/>
      <c r="S988" s="80"/>
      <c r="T988" s="121"/>
      <c r="U988" s="122"/>
      <c r="V988" s="73"/>
    </row>
    <row r="989" spans="1:22">
      <c r="A989" s="63"/>
      <c r="B989" s="70"/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  <c r="R989" s="80"/>
      <c r="S989" s="80"/>
      <c r="T989" s="121"/>
      <c r="U989" s="122"/>
      <c r="V989" s="73"/>
    </row>
    <row r="990" spans="1:22">
      <c r="A990" s="63"/>
      <c r="B990" s="70"/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  <c r="R990" s="80"/>
      <c r="S990" s="80"/>
      <c r="T990" s="121"/>
      <c r="U990" s="122"/>
      <c r="V990" s="73"/>
    </row>
    <row r="991" spans="1:22">
      <c r="A991" s="63"/>
      <c r="B991" s="70"/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  <c r="R991" s="80"/>
      <c r="S991" s="80"/>
      <c r="T991" s="121"/>
      <c r="U991" s="122"/>
      <c r="V991" s="73"/>
    </row>
    <row r="992" spans="1:22">
      <c r="A992" s="63"/>
      <c r="B992" s="70"/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  <c r="S992" s="80"/>
      <c r="T992" s="121"/>
      <c r="U992" s="122"/>
      <c r="V992" s="73"/>
    </row>
    <row r="993" spans="1:22">
      <c r="A993" s="63"/>
      <c r="B993" s="70"/>
      <c r="C993" s="80"/>
      <c r="D993" s="80"/>
      <c r="E993" s="80"/>
      <c r="F993" s="80"/>
      <c r="G993" s="80"/>
      <c r="H993" s="80"/>
      <c r="I993" s="80"/>
      <c r="J993" s="80"/>
      <c r="K993" s="80"/>
      <c r="L993" s="80"/>
      <c r="M993" s="80"/>
      <c r="N993" s="80"/>
      <c r="O993" s="80"/>
      <c r="P993" s="80"/>
      <c r="Q993" s="80"/>
      <c r="R993" s="80"/>
      <c r="S993" s="80"/>
      <c r="T993" s="121"/>
      <c r="U993" s="122"/>
      <c r="V993" s="73"/>
    </row>
    <row r="994" spans="1:22">
      <c r="A994" s="63"/>
      <c r="B994" s="70"/>
      <c r="C994" s="80"/>
      <c r="D994" s="80"/>
      <c r="E994" s="80"/>
      <c r="F994" s="80"/>
      <c r="G994" s="80"/>
      <c r="H994" s="80"/>
      <c r="I994" s="80"/>
      <c r="J994" s="80"/>
      <c r="K994" s="80"/>
      <c r="L994" s="80"/>
      <c r="M994" s="80"/>
      <c r="N994" s="80"/>
      <c r="O994" s="80"/>
      <c r="P994" s="80"/>
      <c r="Q994" s="80"/>
      <c r="R994" s="80"/>
      <c r="S994" s="80"/>
      <c r="T994" s="121"/>
      <c r="U994" s="122"/>
      <c r="V994" s="73"/>
    </row>
    <row r="995" spans="1:22">
      <c r="A995" s="63"/>
      <c r="B995" s="70"/>
      <c r="C995" s="80"/>
      <c r="D995" s="80"/>
      <c r="E995" s="80"/>
      <c r="F995" s="80"/>
      <c r="G995" s="80"/>
      <c r="H995" s="80"/>
      <c r="I995" s="80"/>
      <c r="J995" s="80"/>
      <c r="K995" s="80"/>
      <c r="L995" s="80"/>
      <c r="M995" s="80"/>
      <c r="N995" s="80"/>
      <c r="O995" s="80"/>
      <c r="P995" s="80"/>
      <c r="Q995" s="80"/>
      <c r="R995" s="80"/>
      <c r="S995" s="80"/>
      <c r="T995" s="121"/>
      <c r="U995" s="122"/>
      <c r="V995" s="73"/>
    </row>
    <row r="996" spans="1:22">
      <c r="A996" s="63"/>
      <c r="B996" s="70"/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  <c r="S996" s="80"/>
      <c r="T996" s="121"/>
      <c r="U996" s="122"/>
      <c r="V996" s="73"/>
    </row>
    <row r="997" spans="1:22">
      <c r="A997" s="63"/>
      <c r="B997" s="70"/>
      <c r="C997" s="80"/>
      <c r="D997" s="80"/>
      <c r="E997" s="80"/>
      <c r="F997" s="80"/>
      <c r="G997" s="80"/>
      <c r="H997" s="80"/>
      <c r="I997" s="80"/>
      <c r="J997" s="80"/>
      <c r="K997" s="80"/>
      <c r="L997" s="80"/>
      <c r="M997" s="80"/>
      <c r="N997" s="80"/>
      <c r="O997" s="80"/>
      <c r="P997" s="80"/>
      <c r="Q997" s="80"/>
      <c r="R997" s="80"/>
      <c r="S997" s="80"/>
      <c r="T997" s="121"/>
      <c r="U997" s="122"/>
      <c r="V997" s="73"/>
    </row>
    <row r="998" spans="1:22">
      <c r="A998" s="63"/>
      <c r="B998" s="70"/>
      <c r="C998" s="80"/>
      <c r="D998" s="80"/>
      <c r="E998" s="80"/>
      <c r="F998" s="80"/>
      <c r="G998" s="80"/>
      <c r="H998" s="80"/>
      <c r="I998" s="80"/>
      <c r="J998" s="80"/>
      <c r="K998" s="80"/>
      <c r="L998" s="80"/>
      <c r="M998" s="80"/>
      <c r="N998" s="80"/>
      <c r="O998" s="80"/>
      <c r="P998" s="80"/>
      <c r="Q998" s="80"/>
      <c r="R998" s="80"/>
      <c r="S998" s="80"/>
      <c r="T998" s="121"/>
      <c r="U998" s="122"/>
      <c r="V998" s="73"/>
    </row>
    <row r="999" spans="1:22">
      <c r="A999" s="63"/>
      <c r="B999" s="70"/>
      <c r="C999" s="80"/>
      <c r="D999" s="80"/>
      <c r="E999" s="80"/>
      <c r="F999" s="80"/>
      <c r="G999" s="80"/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121"/>
      <c r="U999" s="122"/>
      <c r="V999" s="73"/>
    </row>
    <row r="1000" spans="1:22">
      <c r="A1000" s="63"/>
      <c r="B1000" s="70"/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121"/>
      <c r="U1000" s="122"/>
      <c r="V1000" s="73"/>
    </row>
  </sheetData>
  <mergeCells count="15">
    <mergeCell ref="T1:T3"/>
    <mergeCell ref="U1:U3"/>
    <mergeCell ref="E2:E3"/>
    <mergeCell ref="F2:G2"/>
    <mergeCell ref="H2:I2"/>
    <mergeCell ref="J2:K2"/>
    <mergeCell ref="L2:M2"/>
    <mergeCell ref="N2:O2"/>
    <mergeCell ref="P2:Q2"/>
    <mergeCell ref="B1:B3"/>
    <mergeCell ref="C1:C3"/>
    <mergeCell ref="D1:D3"/>
    <mergeCell ref="E1:Q1"/>
    <mergeCell ref="R1:R3"/>
    <mergeCell ref="S1:S3"/>
  </mergeCells>
  <phoneticPr fontId="13"/>
  <conditionalFormatting sqref="R4:R1048576">
    <cfRule type="containsText" dxfId="192" priority="5" operator="containsText" text="danger">
      <formula>NOT(ISERROR(SEARCH("danger",R4)))</formula>
    </cfRule>
  </conditionalFormatting>
  <conditionalFormatting sqref="R4:R1000">
    <cfRule type="containsText" dxfId="191" priority="4" operator="containsText" text="danger">
      <formula>NOT(ISERROR(SEARCH("danger",R4)))</formula>
    </cfRule>
  </conditionalFormatting>
  <conditionalFormatting sqref="S4:S1048576">
    <cfRule type="containsText" dxfId="190" priority="2" operator="containsText" text="danger">
      <formula>NOT(ISERROR(SEARCH("danger",S4)))</formula>
    </cfRule>
    <cfRule type="containsText" dxfId="189" priority="3" operator="containsText" text="restricted">
      <formula>NOT(ISERROR(SEARCH("restricted",S4)))</formula>
    </cfRule>
  </conditionalFormatting>
  <conditionalFormatting sqref="S4:S1000">
    <cfRule type="containsText" dxfId="188" priority="1" operator="containsText" text="danger">
      <formula>NOT(ISERROR(SEARCH("danger",S4)))</formula>
    </cfRule>
  </conditionalFormatting>
  <dataValidations count="6">
    <dataValidation type="list" allowBlank="1" showInputMessage="1" showErrorMessage="1" sqref="F4:F1048576 H4:H1048576 J4:J1048576 L4:L1048576 N4:N1048576 P4:P1048576" xr:uid="{B628C718-D700-4E0E-AF21-181A6A9CB3F8}">
      <formula1>ParamTypeName</formula1>
    </dataValidation>
    <dataValidation type="list" allowBlank="1" showInputMessage="1" showErrorMessage="1" sqref="C1001:C1048576" xr:uid="{EB5F9517-F618-4D20-ABF8-4353355D5581}">
      <formula1>APIDName</formula1>
    </dataValidation>
    <dataValidation type="list" allowBlank="1" showInputMessage="1" showErrorMessage="1" sqref="O1001:O1048576 G1001:G1048576 Q1001:Q1048576 M1001:M1048576 K1001:K1048576 I1001:I1048576" xr:uid="{8B386B56-91A0-4DAB-B6F9-E53C354FFBC6}">
      <formula1>ParamNotationName</formula1>
    </dataValidation>
    <dataValidation type="list" allowBlank="1" showInputMessage="1" showErrorMessage="1" sqref="R4:R1000 R1001:S1048576" xr:uid="{B9FFED2D-6389-455D-A3A5-AE4AB8AE5AC4}">
      <formula1>"danger"</formula1>
    </dataValidation>
    <dataValidation type="list" allowBlank="1" showInputMessage="1" showErrorMessage="1" sqref="S4:S1000" xr:uid="{8CC59822-201A-4F43-A8F2-EE234E93D606}">
      <formula1>"restricted"</formula1>
    </dataValidation>
    <dataValidation type="list" allowBlank="1" showInputMessage="1" showErrorMessage="1" sqref="C4:C1000" xr:uid="{00ADD225-F757-4B75-AEA5-B3A250E3BA1C}">
      <formula1>TargetName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41514-5457-4DF4-80C5-4108607B8852}">
  <sheetPr codeName="Sheet11"/>
  <dimension ref="A1:L300"/>
  <sheetViews>
    <sheetView zoomScale="85" zoomScaleNormal="85" workbookViewId="0">
      <selection sqref="A1:A2"/>
    </sheetView>
  </sheetViews>
  <sheetFormatPr defaultColWidth="8.875" defaultRowHeight="15"/>
  <cols>
    <col min="1" max="1" width="8.875" style="17"/>
    <col min="2" max="2" width="59" style="17" bestFit="1" customWidth="1"/>
    <col min="3" max="3" width="26.5" style="17" bestFit="1" customWidth="1"/>
    <col min="4" max="10" width="8.875" style="17"/>
    <col min="11" max="11" width="11" style="17" bestFit="1" customWidth="1"/>
    <col min="12" max="12" width="54.5" style="17" bestFit="1" customWidth="1"/>
    <col min="13" max="16384" width="8.875" style="65"/>
  </cols>
  <sheetData>
    <row r="1" spans="1:12">
      <c r="A1" s="117" t="s">
        <v>115</v>
      </c>
      <c r="B1" s="111" t="s">
        <v>11</v>
      </c>
      <c r="C1" s="111" t="s">
        <v>165</v>
      </c>
      <c r="D1" s="111" t="s">
        <v>166</v>
      </c>
      <c r="E1" s="115" t="s">
        <v>167</v>
      </c>
      <c r="F1" s="115"/>
      <c r="G1" s="115"/>
      <c r="H1" s="115"/>
      <c r="I1" s="115"/>
      <c r="J1" s="111" t="s">
        <v>164</v>
      </c>
      <c r="K1" s="111" t="s">
        <v>10</v>
      </c>
      <c r="L1" s="111" t="s">
        <v>160</v>
      </c>
    </row>
    <row r="2" spans="1:12" ht="28.5">
      <c r="A2" s="117"/>
      <c r="B2" s="111"/>
      <c r="C2" s="111"/>
      <c r="D2" s="111"/>
      <c r="E2" s="77" t="s">
        <v>168</v>
      </c>
      <c r="F2" s="77" t="s">
        <v>169</v>
      </c>
      <c r="G2" s="77" t="s">
        <v>170</v>
      </c>
      <c r="H2" s="77" t="s">
        <v>171</v>
      </c>
      <c r="I2" s="77" t="s">
        <v>172</v>
      </c>
      <c r="J2" s="111"/>
      <c r="K2" s="111"/>
      <c r="L2" s="111"/>
    </row>
    <row r="3" spans="1:12" ht="15.75">
      <c r="A3" s="78"/>
      <c r="B3" s="76"/>
      <c r="C3" s="76"/>
      <c r="D3" s="75"/>
      <c r="E3" s="75"/>
      <c r="F3" s="75"/>
      <c r="G3" s="75"/>
      <c r="H3" s="75"/>
      <c r="I3" s="75"/>
      <c r="J3" s="75"/>
      <c r="K3" s="79"/>
      <c r="L3" s="79"/>
    </row>
    <row r="4" spans="1:12" ht="15.75">
      <c r="A4" s="78"/>
      <c r="B4" s="76"/>
      <c r="C4" s="76"/>
      <c r="D4" s="75"/>
      <c r="E4" s="75"/>
      <c r="F4" s="75"/>
      <c r="G4" s="75"/>
      <c r="H4" s="75"/>
      <c r="I4" s="75"/>
      <c r="J4" s="75"/>
      <c r="K4" s="79"/>
      <c r="L4" s="79"/>
    </row>
    <row r="5" spans="1:12" ht="15.75">
      <c r="A5" s="78"/>
      <c r="B5" s="76"/>
      <c r="C5" s="76"/>
      <c r="D5" s="75"/>
      <c r="E5" s="75"/>
      <c r="F5" s="75"/>
      <c r="G5" s="75"/>
      <c r="H5" s="75"/>
      <c r="I5" s="75"/>
      <c r="J5" s="75"/>
      <c r="K5" s="79"/>
      <c r="L5" s="79"/>
    </row>
    <row r="6" spans="1:12" ht="15.75">
      <c r="A6" s="78"/>
      <c r="B6" s="76"/>
      <c r="C6" s="76"/>
      <c r="D6" s="75"/>
      <c r="E6" s="75"/>
      <c r="F6" s="75"/>
      <c r="G6" s="75"/>
      <c r="H6" s="75"/>
      <c r="I6" s="75"/>
      <c r="J6" s="75"/>
      <c r="K6" s="79"/>
      <c r="L6" s="79"/>
    </row>
    <row r="7" spans="1:12" ht="15.75">
      <c r="A7" s="78"/>
      <c r="B7" s="76"/>
      <c r="C7" s="76"/>
      <c r="D7" s="75"/>
      <c r="E7" s="75"/>
      <c r="F7" s="75"/>
      <c r="G7" s="75"/>
      <c r="H7" s="75"/>
      <c r="I7" s="75"/>
      <c r="J7" s="75"/>
      <c r="K7" s="79"/>
      <c r="L7" s="79"/>
    </row>
    <row r="8" spans="1:12" ht="15.75">
      <c r="A8" s="78"/>
      <c r="B8" s="76"/>
      <c r="C8" s="76"/>
      <c r="D8" s="75"/>
      <c r="E8" s="75"/>
      <c r="F8" s="75"/>
      <c r="G8" s="75"/>
      <c r="H8" s="75"/>
      <c r="I8" s="75"/>
      <c r="J8" s="75"/>
      <c r="K8" s="79"/>
      <c r="L8" s="79"/>
    </row>
    <row r="9" spans="1:12" ht="15.75">
      <c r="A9" s="78"/>
      <c r="B9" s="76"/>
      <c r="C9" s="76"/>
      <c r="D9" s="75"/>
      <c r="E9" s="75"/>
      <c r="F9" s="75"/>
      <c r="G9" s="75"/>
      <c r="H9" s="75"/>
      <c r="I9" s="75"/>
      <c r="J9" s="75"/>
      <c r="K9" s="79"/>
      <c r="L9" s="79"/>
    </row>
    <row r="10" spans="1:12" ht="15.75">
      <c r="A10" s="78"/>
      <c r="B10" s="76"/>
      <c r="C10" s="76"/>
      <c r="D10" s="75"/>
      <c r="E10" s="75"/>
      <c r="F10" s="75"/>
      <c r="G10" s="75"/>
      <c r="H10" s="75"/>
      <c r="I10" s="75"/>
      <c r="J10" s="75"/>
      <c r="K10" s="79"/>
      <c r="L10" s="79"/>
    </row>
    <row r="11" spans="1:12" ht="15.75">
      <c r="A11" s="78"/>
      <c r="B11" s="76"/>
      <c r="C11" s="76"/>
      <c r="D11" s="75"/>
      <c r="E11" s="75"/>
      <c r="F11" s="75"/>
      <c r="G11" s="75"/>
      <c r="H11" s="75"/>
      <c r="I11" s="75"/>
      <c r="J11" s="75"/>
      <c r="K11" s="79"/>
      <c r="L11" s="79"/>
    </row>
    <row r="12" spans="1:12" ht="15.75">
      <c r="A12" s="78"/>
      <c r="B12" s="76"/>
      <c r="C12" s="76"/>
      <c r="D12" s="75"/>
      <c r="E12" s="75"/>
      <c r="F12" s="75"/>
      <c r="G12" s="75"/>
      <c r="H12" s="75"/>
      <c r="I12" s="75"/>
      <c r="J12" s="75"/>
      <c r="K12" s="79"/>
      <c r="L12" s="79"/>
    </row>
    <row r="13" spans="1:12" ht="15.75">
      <c r="A13" s="78"/>
      <c r="B13" s="76"/>
      <c r="C13" s="76"/>
      <c r="D13" s="75"/>
      <c r="E13" s="75"/>
      <c r="F13" s="75"/>
      <c r="G13" s="75"/>
      <c r="H13" s="75"/>
      <c r="I13" s="75"/>
      <c r="J13" s="75"/>
      <c r="K13" s="79"/>
      <c r="L13" s="79"/>
    </row>
    <row r="14" spans="1:12" ht="15.75">
      <c r="A14" s="78"/>
      <c r="B14" s="76"/>
      <c r="C14" s="76"/>
      <c r="D14" s="75"/>
      <c r="E14" s="75"/>
      <c r="F14" s="75"/>
      <c r="G14" s="75"/>
      <c r="H14" s="75"/>
      <c r="I14" s="75"/>
      <c r="J14" s="75"/>
      <c r="K14" s="79"/>
      <c r="L14" s="79"/>
    </row>
    <row r="15" spans="1:12" ht="15.75">
      <c r="A15" s="78"/>
      <c r="B15" s="76"/>
      <c r="C15" s="76"/>
      <c r="D15" s="75"/>
      <c r="E15" s="75"/>
      <c r="F15" s="75"/>
      <c r="G15" s="75"/>
      <c r="H15" s="75"/>
      <c r="I15" s="75"/>
      <c r="J15" s="75"/>
      <c r="K15" s="79"/>
      <c r="L15" s="79"/>
    </row>
    <row r="16" spans="1:12" ht="15.75">
      <c r="A16" s="78"/>
      <c r="B16" s="76"/>
      <c r="C16" s="76"/>
      <c r="D16" s="75"/>
      <c r="E16" s="75"/>
      <c r="F16" s="75"/>
      <c r="G16" s="75"/>
      <c r="H16" s="75"/>
      <c r="I16" s="75"/>
      <c r="J16" s="75"/>
      <c r="K16" s="79"/>
      <c r="L16" s="79"/>
    </row>
    <row r="17" spans="1:12" ht="15.75">
      <c r="A17" s="78"/>
      <c r="B17" s="76"/>
      <c r="C17" s="76"/>
      <c r="D17" s="75"/>
      <c r="E17" s="75"/>
      <c r="F17" s="75"/>
      <c r="G17" s="75"/>
      <c r="H17" s="75"/>
      <c r="I17" s="75"/>
      <c r="J17" s="75"/>
      <c r="K17" s="79"/>
      <c r="L17" s="79"/>
    </row>
    <row r="18" spans="1:12" ht="15.75">
      <c r="A18" s="78"/>
      <c r="B18" s="76"/>
      <c r="C18" s="76"/>
      <c r="D18" s="75"/>
      <c r="E18" s="75"/>
      <c r="F18" s="75"/>
      <c r="G18" s="75"/>
      <c r="H18" s="75"/>
      <c r="I18" s="75"/>
      <c r="J18" s="75"/>
      <c r="K18" s="79"/>
      <c r="L18" s="79"/>
    </row>
    <row r="19" spans="1:12" ht="15.75">
      <c r="A19" s="78"/>
      <c r="B19" s="76"/>
      <c r="C19" s="76"/>
      <c r="D19" s="75"/>
      <c r="E19" s="75"/>
      <c r="F19" s="75"/>
      <c r="G19" s="75"/>
      <c r="H19" s="75"/>
      <c r="I19" s="75"/>
      <c r="J19" s="75"/>
      <c r="K19" s="79"/>
      <c r="L19" s="79"/>
    </row>
    <row r="20" spans="1:12" ht="15.75">
      <c r="A20" s="78"/>
      <c r="B20" s="76"/>
      <c r="C20" s="76"/>
      <c r="D20" s="75"/>
      <c r="E20" s="75"/>
      <c r="F20" s="75"/>
      <c r="G20" s="75"/>
      <c r="H20" s="75"/>
      <c r="I20" s="75"/>
      <c r="J20" s="75"/>
      <c r="K20" s="79"/>
      <c r="L20" s="79"/>
    </row>
    <row r="21" spans="1:12" ht="15.75">
      <c r="A21" s="78"/>
      <c r="B21" s="76"/>
      <c r="C21" s="76"/>
      <c r="D21" s="75"/>
      <c r="E21" s="75"/>
      <c r="F21" s="75"/>
      <c r="G21" s="75"/>
      <c r="H21" s="75"/>
      <c r="I21" s="75"/>
      <c r="J21" s="75"/>
      <c r="K21" s="79"/>
      <c r="L21" s="79"/>
    </row>
    <row r="22" spans="1:12" ht="15.75">
      <c r="A22" s="78"/>
      <c r="B22" s="76"/>
      <c r="C22" s="76"/>
      <c r="D22" s="75"/>
      <c r="E22" s="75"/>
      <c r="F22" s="75"/>
      <c r="G22" s="75"/>
      <c r="H22" s="75"/>
      <c r="I22" s="75"/>
      <c r="J22" s="75"/>
      <c r="K22" s="79"/>
      <c r="L22" s="79"/>
    </row>
    <row r="23" spans="1:12" ht="15.75">
      <c r="A23" s="78"/>
      <c r="B23" s="76"/>
      <c r="C23" s="76"/>
      <c r="D23" s="75"/>
      <c r="E23" s="75"/>
      <c r="F23" s="75"/>
      <c r="G23" s="75"/>
      <c r="H23" s="75"/>
      <c r="I23" s="75"/>
      <c r="J23" s="75"/>
      <c r="K23" s="79"/>
      <c r="L23" s="79"/>
    </row>
    <row r="24" spans="1:12" ht="15.75">
      <c r="A24" s="78"/>
      <c r="B24" s="76"/>
      <c r="C24" s="76"/>
      <c r="D24" s="75"/>
      <c r="E24" s="75"/>
      <c r="F24" s="75"/>
      <c r="G24" s="75"/>
      <c r="H24" s="75"/>
      <c r="I24" s="75"/>
      <c r="J24" s="75"/>
      <c r="K24" s="79"/>
      <c r="L24" s="79"/>
    </row>
    <row r="25" spans="1:12" ht="15.75">
      <c r="A25" s="78"/>
      <c r="B25" s="76"/>
      <c r="C25" s="76"/>
      <c r="D25" s="75"/>
      <c r="E25" s="75"/>
      <c r="F25" s="75"/>
      <c r="G25" s="75"/>
      <c r="H25" s="75"/>
      <c r="I25" s="75"/>
      <c r="J25" s="75"/>
      <c r="K25" s="79"/>
      <c r="L25" s="79"/>
    </row>
    <row r="26" spans="1:12" ht="15.75">
      <c r="A26" s="78"/>
      <c r="B26" s="76"/>
      <c r="C26" s="76"/>
      <c r="D26" s="75"/>
      <c r="E26" s="75"/>
      <c r="F26" s="75"/>
      <c r="G26" s="75"/>
      <c r="H26" s="75"/>
      <c r="I26" s="75"/>
      <c r="J26" s="75"/>
      <c r="K26" s="79"/>
      <c r="L26" s="79"/>
    </row>
    <row r="27" spans="1:12" ht="15.75">
      <c r="A27" s="78"/>
      <c r="B27" s="76"/>
      <c r="C27" s="76"/>
      <c r="D27" s="75"/>
      <c r="E27" s="75"/>
      <c r="F27" s="75"/>
      <c r="G27" s="75"/>
      <c r="H27" s="75"/>
      <c r="I27" s="75"/>
      <c r="J27" s="75"/>
      <c r="K27" s="79"/>
      <c r="L27" s="79"/>
    </row>
    <row r="28" spans="1:12" ht="15.75">
      <c r="A28" s="78"/>
      <c r="B28" s="76"/>
      <c r="C28" s="76"/>
      <c r="D28" s="75"/>
      <c r="E28" s="75"/>
      <c r="F28" s="75"/>
      <c r="G28" s="75"/>
      <c r="H28" s="75"/>
      <c r="I28" s="75"/>
      <c r="J28" s="75"/>
      <c r="K28" s="79"/>
      <c r="L28" s="79"/>
    </row>
    <row r="29" spans="1:12" ht="15.75">
      <c r="A29" s="78"/>
      <c r="B29" s="76"/>
      <c r="C29" s="76"/>
      <c r="D29" s="75"/>
      <c r="E29" s="75"/>
      <c r="F29" s="75"/>
      <c r="G29" s="75"/>
      <c r="H29" s="75"/>
      <c r="I29" s="75"/>
      <c r="J29" s="75"/>
      <c r="K29" s="79"/>
      <c r="L29" s="79"/>
    </row>
    <row r="30" spans="1:12" ht="15.75">
      <c r="A30" s="78"/>
      <c r="B30" s="76"/>
      <c r="C30" s="76"/>
      <c r="D30" s="75"/>
      <c r="E30" s="75"/>
      <c r="F30" s="75"/>
      <c r="G30" s="75"/>
      <c r="H30" s="75"/>
      <c r="I30" s="75"/>
      <c r="J30" s="75"/>
      <c r="K30" s="79"/>
      <c r="L30" s="79"/>
    </row>
    <row r="31" spans="1:12" ht="15.75">
      <c r="A31" s="78"/>
      <c r="B31" s="76"/>
      <c r="C31" s="76"/>
      <c r="D31" s="75"/>
      <c r="E31" s="75"/>
      <c r="F31" s="75"/>
      <c r="G31" s="75"/>
      <c r="H31" s="75"/>
      <c r="I31" s="75"/>
      <c r="J31" s="75"/>
      <c r="K31" s="79"/>
      <c r="L31" s="79"/>
    </row>
    <row r="32" spans="1:12" ht="15.75">
      <c r="A32" s="78"/>
      <c r="B32" s="76"/>
      <c r="C32" s="76"/>
      <c r="D32" s="75"/>
      <c r="E32" s="75"/>
      <c r="F32" s="75"/>
      <c r="G32" s="75"/>
      <c r="H32" s="75"/>
      <c r="I32" s="75"/>
      <c r="J32" s="75"/>
      <c r="K32" s="79"/>
      <c r="L32" s="79"/>
    </row>
    <row r="33" spans="1:12" ht="15.75">
      <c r="A33" s="78"/>
      <c r="B33" s="76"/>
      <c r="C33" s="76"/>
      <c r="D33" s="75"/>
      <c r="E33" s="75"/>
      <c r="F33" s="75"/>
      <c r="G33" s="75"/>
      <c r="H33" s="75"/>
      <c r="I33" s="75"/>
      <c r="J33" s="75"/>
      <c r="K33" s="79"/>
      <c r="L33" s="79"/>
    </row>
    <row r="34" spans="1:12" ht="15.75">
      <c r="A34" s="78"/>
      <c r="B34" s="76"/>
      <c r="C34" s="76"/>
      <c r="D34" s="75"/>
      <c r="E34" s="75"/>
      <c r="F34" s="75"/>
      <c r="G34" s="75"/>
      <c r="H34" s="75"/>
      <c r="I34" s="75"/>
      <c r="J34" s="75"/>
      <c r="K34" s="79"/>
      <c r="L34" s="79"/>
    </row>
    <row r="35" spans="1:12" ht="15.75">
      <c r="A35" s="78"/>
      <c r="B35" s="76"/>
      <c r="C35" s="76"/>
      <c r="D35" s="75"/>
      <c r="E35" s="75"/>
      <c r="F35" s="75"/>
      <c r="G35" s="75"/>
      <c r="H35" s="75"/>
      <c r="I35" s="75"/>
      <c r="J35" s="75"/>
      <c r="K35" s="79"/>
      <c r="L35" s="79"/>
    </row>
    <row r="36" spans="1:12" ht="15.75">
      <c r="A36" s="78"/>
      <c r="B36" s="76"/>
      <c r="C36" s="76"/>
      <c r="D36" s="75"/>
      <c r="E36" s="75"/>
      <c r="F36" s="75"/>
      <c r="G36" s="75"/>
      <c r="H36" s="75"/>
      <c r="I36" s="75"/>
      <c r="J36" s="75"/>
      <c r="K36" s="79"/>
      <c r="L36" s="79"/>
    </row>
    <row r="37" spans="1:12" ht="15.75">
      <c r="A37" s="78"/>
      <c r="B37" s="76"/>
      <c r="C37" s="76"/>
      <c r="D37" s="75"/>
      <c r="E37" s="75"/>
      <c r="F37" s="75"/>
      <c r="G37" s="75"/>
      <c r="H37" s="75"/>
      <c r="I37" s="75"/>
      <c r="J37" s="75"/>
      <c r="K37" s="79"/>
      <c r="L37" s="79"/>
    </row>
    <row r="38" spans="1:12" ht="15.75">
      <c r="A38" s="78"/>
      <c r="B38" s="76"/>
      <c r="C38" s="76"/>
      <c r="D38" s="75"/>
      <c r="E38" s="75"/>
      <c r="F38" s="75"/>
      <c r="G38" s="75"/>
      <c r="H38" s="75"/>
      <c r="I38" s="75"/>
      <c r="J38" s="75"/>
      <c r="K38" s="79"/>
      <c r="L38" s="79"/>
    </row>
    <row r="39" spans="1:12" ht="15.75">
      <c r="A39" s="78"/>
      <c r="B39" s="76"/>
      <c r="C39" s="76"/>
      <c r="D39" s="75"/>
      <c r="E39" s="75"/>
      <c r="F39" s="75"/>
      <c r="G39" s="75"/>
      <c r="H39" s="75"/>
      <c r="I39" s="75"/>
      <c r="J39" s="75"/>
      <c r="K39" s="79"/>
      <c r="L39" s="79"/>
    </row>
    <row r="40" spans="1:12" ht="15.75">
      <c r="A40" s="78"/>
      <c r="B40" s="76"/>
      <c r="C40" s="76"/>
      <c r="D40" s="75"/>
      <c r="E40" s="75"/>
      <c r="F40" s="75"/>
      <c r="G40" s="75"/>
      <c r="H40" s="75"/>
      <c r="I40" s="75"/>
      <c r="J40" s="75"/>
      <c r="K40" s="79"/>
      <c r="L40" s="79"/>
    </row>
    <row r="41" spans="1:12" ht="15.75">
      <c r="A41" s="78"/>
      <c r="B41" s="76"/>
      <c r="C41" s="76"/>
      <c r="D41" s="75"/>
      <c r="E41" s="75"/>
      <c r="F41" s="75"/>
      <c r="G41" s="75"/>
      <c r="H41" s="75"/>
      <c r="I41" s="75"/>
      <c r="J41" s="75"/>
      <c r="K41" s="79"/>
      <c r="L41" s="79"/>
    </row>
    <row r="42" spans="1:12" ht="15.75">
      <c r="A42" s="78"/>
      <c r="B42" s="76"/>
      <c r="C42" s="76"/>
      <c r="D42" s="75"/>
      <c r="E42" s="75"/>
      <c r="F42" s="75"/>
      <c r="G42" s="75"/>
      <c r="H42" s="75"/>
      <c r="I42" s="75"/>
      <c r="J42" s="75"/>
      <c r="K42" s="79"/>
      <c r="L42" s="79"/>
    </row>
    <row r="43" spans="1:12" ht="15.75">
      <c r="A43" s="78"/>
      <c r="B43" s="76"/>
      <c r="C43" s="76"/>
      <c r="D43" s="75"/>
      <c r="E43" s="75"/>
      <c r="F43" s="75"/>
      <c r="G43" s="75"/>
      <c r="H43" s="75"/>
      <c r="I43" s="75"/>
      <c r="J43" s="75"/>
      <c r="K43" s="79"/>
      <c r="L43" s="79"/>
    </row>
    <row r="44" spans="1:12" ht="15.75">
      <c r="A44" s="78"/>
      <c r="B44" s="76"/>
      <c r="C44" s="76"/>
      <c r="D44" s="75"/>
      <c r="E44" s="75"/>
      <c r="F44" s="75"/>
      <c r="G44" s="75"/>
      <c r="H44" s="75"/>
      <c r="I44" s="75"/>
      <c r="J44" s="75"/>
      <c r="K44" s="79"/>
      <c r="L44" s="79"/>
    </row>
    <row r="45" spans="1:12" ht="15.75">
      <c r="A45" s="78"/>
      <c r="B45" s="76"/>
      <c r="C45" s="76"/>
      <c r="D45" s="75"/>
      <c r="E45" s="75"/>
      <c r="F45" s="75"/>
      <c r="G45" s="75"/>
      <c r="H45" s="75"/>
      <c r="I45" s="75"/>
      <c r="J45" s="75"/>
      <c r="K45" s="79"/>
      <c r="L45" s="79"/>
    </row>
    <row r="46" spans="1:12" ht="15.75">
      <c r="A46" s="78"/>
      <c r="B46" s="76"/>
      <c r="C46" s="76"/>
      <c r="D46" s="75"/>
      <c r="E46" s="75"/>
      <c r="F46" s="75"/>
      <c r="G46" s="75"/>
      <c r="H46" s="75"/>
      <c r="I46" s="75"/>
      <c r="J46" s="75"/>
      <c r="K46" s="79"/>
      <c r="L46" s="79"/>
    </row>
    <row r="47" spans="1:12" ht="15.75">
      <c r="A47" s="78"/>
      <c r="B47" s="76"/>
      <c r="C47" s="76"/>
      <c r="D47" s="75"/>
      <c r="E47" s="75"/>
      <c r="F47" s="75"/>
      <c r="G47" s="75"/>
      <c r="H47" s="75"/>
      <c r="I47" s="75"/>
      <c r="J47" s="75"/>
      <c r="K47" s="79"/>
      <c r="L47" s="79"/>
    </row>
    <row r="48" spans="1:12" ht="15.75">
      <c r="A48" s="78"/>
      <c r="B48" s="76"/>
      <c r="C48" s="76"/>
      <c r="D48" s="75"/>
      <c r="E48" s="75"/>
      <c r="F48" s="75"/>
      <c r="G48" s="75"/>
      <c r="H48" s="75"/>
      <c r="I48" s="75"/>
      <c r="J48" s="75"/>
      <c r="K48" s="79"/>
      <c r="L48" s="79"/>
    </row>
    <row r="49" spans="1:12" ht="15.75">
      <c r="A49" s="78"/>
      <c r="B49" s="76"/>
      <c r="C49" s="76"/>
      <c r="D49" s="75"/>
      <c r="E49" s="75"/>
      <c r="F49" s="75"/>
      <c r="G49" s="75"/>
      <c r="H49" s="75"/>
      <c r="I49" s="75"/>
      <c r="J49" s="75"/>
      <c r="K49" s="79"/>
      <c r="L49" s="79"/>
    </row>
    <row r="50" spans="1:12" ht="15.75">
      <c r="A50" s="78"/>
      <c r="B50" s="76"/>
      <c r="C50" s="76"/>
      <c r="D50" s="75"/>
      <c r="E50" s="75"/>
      <c r="F50" s="75"/>
      <c r="G50" s="75"/>
      <c r="H50" s="75"/>
      <c r="I50" s="75"/>
      <c r="J50" s="75"/>
      <c r="K50" s="79"/>
      <c r="L50" s="79"/>
    </row>
    <row r="51" spans="1:12" ht="15.75">
      <c r="A51" s="78"/>
      <c r="B51" s="76"/>
      <c r="C51" s="76"/>
      <c r="D51" s="75"/>
      <c r="E51" s="75"/>
      <c r="F51" s="75"/>
      <c r="G51" s="75"/>
      <c r="H51" s="75"/>
      <c r="I51" s="75"/>
      <c r="J51" s="75"/>
      <c r="K51" s="79"/>
      <c r="L51" s="79"/>
    </row>
    <row r="52" spans="1:12" ht="15.75">
      <c r="A52" s="78"/>
      <c r="B52" s="76"/>
      <c r="C52" s="76"/>
      <c r="D52" s="75"/>
      <c r="E52" s="75"/>
      <c r="F52" s="75"/>
      <c r="G52" s="75"/>
      <c r="H52" s="75"/>
      <c r="I52" s="75"/>
      <c r="J52" s="75"/>
      <c r="K52" s="79"/>
      <c r="L52" s="79"/>
    </row>
    <row r="53" spans="1:12" ht="15.75">
      <c r="A53" s="78"/>
      <c r="B53" s="76"/>
      <c r="C53" s="76"/>
      <c r="D53" s="75"/>
      <c r="E53" s="75"/>
      <c r="F53" s="75"/>
      <c r="G53" s="75"/>
      <c r="H53" s="75"/>
      <c r="I53" s="75"/>
      <c r="J53" s="75"/>
      <c r="K53" s="79"/>
      <c r="L53" s="79"/>
    </row>
    <row r="54" spans="1:12" ht="15.75">
      <c r="A54" s="78"/>
      <c r="B54" s="76"/>
      <c r="C54" s="76"/>
      <c r="D54" s="75"/>
      <c r="E54" s="75"/>
      <c r="F54" s="75"/>
      <c r="G54" s="75"/>
      <c r="H54" s="75"/>
      <c r="I54" s="75"/>
      <c r="J54" s="75"/>
      <c r="K54" s="79"/>
      <c r="L54" s="79"/>
    </row>
    <row r="55" spans="1:12" ht="15.75">
      <c r="A55" s="78"/>
      <c r="B55" s="76"/>
      <c r="C55" s="76"/>
      <c r="D55" s="75"/>
      <c r="E55" s="75"/>
      <c r="F55" s="75"/>
      <c r="G55" s="75"/>
      <c r="H55" s="75"/>
      <c r="I55" s="75"/>
      <c r="J55" s="75"/>
      <c r="K55" s="79"/>
      <c r="L55" s="79"/>
    </row>
    <row r="56" spans="1:12" ht="15.75">
      <c r="A56" s="78"/>
      <c r="B56" s="76"/>
      <c r="C56" s="76"/>
      <c r="D56" s="75"/>
      <c r="E56" s="75"/>
      <c r="F56" s="75"/>
      <c r="G56" s="75"/>
      <c r="H56" s="75"/>
      <c r="I56" s="75"/>
      <c r="J56" s="75"/>
      <c r="K56" s="79"/>
      <c r="L56" s="79"/>
    </row>
    <row r="57" spans="1:12" ht="15.75">
      <c r="A57" s="78"/>
      <c r="B57" s="76"/>
      <c r="C57" s="76"/>
      <c r="D57" s="75"/>
      <c r="E57" s="75"/>
      <c r="F57" s="75"/>
      <c r="G57" s="75"/>
      <c r="H57" s="75"/>
      <c r="I57" s="75"/>
      <c r="J57" s="75"/>
      <c r="K57" s="79"/>
      <c r="L57" s="79"/>
    </row>
    <row r="58" spans="1:12" ht="15.75">
      <c r="A58" s="78"/>
      <c r="B58" s="76"/>
      <c r="C58" s="76"/>
      <c r="D58" s="75"/>
      <c r="E58" s="75"/>
      <c r="F58" s="75"/>
      <c r="G58" s="75"/>
      <c r="H58" s="75"/>
      <c r="I58" s="75"/>
      <c r="J58" s="75"/>
      <c r="K58" s="79"/>
      <c r="L58" s="79"/>
    </row>
    <row r="59" spans="1:12" ht="15.75">
      <c r="A59" s="78"/>
      <c r="B59" s="76"/>
      <c r="C59" s="76"/>
      <c r="D59" s="75"/>
      <c r="E59" s="75"/>
      <c r="F59" s="75"/>
      <c r="G59" s="75"/>
      <c r="H59" s="75"/>
      <c r="I59" s="75"/>
      <c r="J59" s="75"/>
      <c r="K59" s="79"/>
      <c r="L59" s="79"/>
    </row>
    <row r="60" spans="1:12" ht="15.75">
      <c r="A60" s="78"/>
      <c r="B60" s="76"/>
      <c r="C60" s="76"/>
      <c r="D60" s="75"/>
      <c r="E60" s="75"/>
      <c r="F60" s="75"/>
      <c r="G60" s="75"/>
      <c r="H60" s="75"/>
      <c r="I60" s="75"/>
      <c r="J60" s="75"/>
      <c r="K60" s="79"/>
      <c r="L60" s="79"/>
    </row>
    <row r="61" spans="1:12" ht="15.75">
      <c r="A61" s="78"/>
      <c r="B61" s="76"/>
      <c r="C61" s="76"/>
      <c r="D61" s="75"/>
      <c r="E61" s="75"/>
      <c r="F61" s="75"/>
      <c r="G61" s="75"/>
      <c r="H61" s="75"/>
      <c r="I61" s="75"/>
      <c r="J61" s="75"/>
      <c r="K61" s="79"/>
      <c r="L61" s="79"/>
    </row>
    <row r="62" spans="1:12" ht="15.75">
      <c r="A62" s="78"/>
      <c r="B62" s="76"/>
      <c r="C62" s="76"/>
      <c r="D62" s="75"/>
      <c r="E62" s="75"/>
      <c r="F62" s="75"/>
      <c r="G62" s="75"/>
      <c r="H62" s="75"/>
      <c r="I62" s="75"/>
      <c r="J62" s="75"/>
      <c r="K62" s="79"/>
      <c r="L62" s="79"/>
    </row>
    <row r="63" spans="1:12" ht="15.75">
      <c r="A63" s="78"/>
      <c r="B63" s="76"/>
      <c r="C63" s="76"/>
      <c r="D63" s="75"/>
      <c r="E63" s="75"/>
      <c r="F63" s="75"/>
      <c r="G63" s="75"/>
      <c r="H63" s="75"/>
      <c r="I63" s="75"/>
      <c r="J63" s="75"/>
      <c r="K63" s="79"/>
      <c r="L63" s="79"/>
    </row>
    <row r="64" spans="1:12" ht="15.75">
      <c r="A64" s="78"/>
      <c r="B64" s="76"/>
      <c r="C64" s="76"/>
      <c r="D64" s="75"/>
      <c r="E64" s="75"/>
      <c r="F64" s="75"/>
      <c r="G64" s="75"/>
      <c r="H64" s="75"/>
      <c r="I64" s="75"/>
      <c r="J64" s="75"/>
      <c r="K64" s="79"/>
      <c r="L64" s="79"/>
    </row>
    <row r="65" spans="1:12" ht="15.75">
      <c r="A65" s="78"/>
      <c r="B65" s="76"/>
      <c r="C65" s="76"/>
      <c r="D65" s="75"/>
      <c r="E65" s="75"/>
      <c r="F65" s="75"/>
      <c r="G65" s="75"/>
      <c r="H65" s="75"/>
      <c r="I65" s="75"/>
      <c r="J65" s="75"/>
      <c r="K65" s="79"/>
      <c r="L65" s="79"/>
    </row>
    <row r="66" spans="1:12" ht="15.75">
      <c r="A66" s="78"/>
      <c r="B66" s="76"/>
      <c r="C66" s="76"/>
      <c r="D66" s="75"/>
      <c r="E66" s="75"/>
      <c r="F66" s="75"/>
      <c r="G66" s="75"/>
      <c r="H66" s="75"/>
      <c r="I66" s="75"/>
      <c r="J66" s="75"/>
      <c r="K66" s="79"/>
      <c r="L66" s="79"/>
    </row>
    <row r="67" spans="1:12" ht="15.75">
      <c r="A67" s="78"/>
      <c r="B67" s="76"/>
      <c r="C67" s="76"/>
      <c r="D67" s="75"/>
      <c r="E67" s="75"/>
      <c r="F67" s="75"/>
      <c r="G67" s="75"/>
      <c r="H67" s="75"/>
      <c r="I67" s="75"/>
      <c r="J67" s="75"/>
      <c r="K67" s="79"/>
      <c r="L67" s="79"/>
    </row>
    <row r="68" spans="1:12" ht="15.75">
      <c r="A68" s="78"/>
      <c r="B68" s="76"/>
      <c r="C68" s="76"/>
      <c r="D68" s="75"/>
      <c r="E68" s="75"/>
      <c r="F68" s="75"/>
      <c r="G68" s="75"/>
      <c r="H68" s="75"/>
      <c r="I68" s="75"/>
      <c r="J68" s="75"/>
      <c r="K68" s="79"/>
      <c r="L68" s="79"/>
    </row>
    <row r="69" spans="1:12" ht="15.75">
      <c r="A69" s="78"/>
      <c r="B69" s="76"/>
      <c r="C69" s="76"/>
      <c r="D69" s="75"/>
      <c r="E69" s="75"/>
      <c r="F69" s="75"/>
      <c r="G69" s="75"/>
      <c r="H69" s="75"/>
      <c r="I69" s="75"/>
      <c r="J69" s="75"/>
      <c r="K69" s="79"/>
      <c r="L69" s="79"/>
    </row>
    <row r="70" spans="1:12" ht="15.75">
      <c r="A70" s="78"/>
      <c r="B70" s="76"/>
      <c r="C70" s="76"/>
      <c r="D70" s="75"/>
      <c r="E70" s="75"/>
      <c r="F70" s="75"/>
      <c r="G70" s="75"/>
      <c r="H70" s="75"/>
      <c r="I70" s="75"/>
      <c r="J70" s="75"/>
      <c r="K70" s="79"/>
      <c r="L70" s="79"/>
    </row>
    <row r="71" spans="1:12" ht="15.75">
      <c r="A71" s="78"/>
      <c r="B71" s="76"/>
      <c r="C71" s="76"/>
      <c r="D71" s="75"/>
      <c r="E71" s="75"/>
      <c r="F71" s="75"/>
      <c r="G71" s="75"/>
      <c r="H71" s="75"/>
      <c r="I71" s="75"/>
      <c r="J71" s="75"/>
      <c r="K71" s="79"/>
      <c r="L71" s="79"/>
    </row>
    <row r="72" spans="1:12" ht="15.75">
      <c r="A72" s="78"/>
      <c r="B72" s="76"/>
      <c r="C72" s="76"/>
      <c r="D72" s="75"/>
      <c r="E72" s="75"/>
      <c r="F72" s="75"/>
      <c r="G72" s="75"/>
      <c r="H72" s="75"/>
      <c r="I72" s="75"/>
      <c r="J72" s="75"/>
      <c r="K72" s="79"/>
      <c r="L72" s="79"/>
    </row>
    <row r="73" spans="1:12" ht="15.75">
      <c r="A73" s="78"/>
      <c r="B73" s="76"/>
      <c r="C73" s="76"/>
      <c r="D73" s="75"/>
      <c r="E73" s="75"/>
      <c r="F73" s="75"/>
      <c r="G73" s="75"/>
      <c r="H73" s="75"/>
      <c r="I73" s="75"/>
      <c r="J73" s="75"/>
      <c r="K73" s="79"/>
      <c r="L73" s="79"/>
    </row>
    <row r="74" spans="1:12" ht="15.75">
      <c r="A74" s="78"/>
      <c r="B74" s="76"/>
      <c r="C74" s="76"/>
      <c r="D74" s="75"/>
      <c r="E74" s="75"/>
      <c r="F74" s="75"/>
      <c r="G74" s="75"/>
      <c r="H74" s="75"/>
      <c r="I74" s="75"/>
      <c r="J74" s="75"/>
      <c r="K74" s="79"/>
      <c r="L74" s="79"/>
    </row>
    <row r="75" spans="1:12" ht="15.75">
      <c r="A75" s="78"/>
      <c r="B75" s="76"/>
      <c r="C75" s="76"/>
      <c r="D75" s="75"/>
      <c r="E75" s="75"/>
      <c r="F75" s="75"/>
      <c r="G75" s="75"/>
      <c r="H75" s="75"/>
      <c r="I75" s="75"/>
      <c r="J75" s="75"/>
      <c r="K75" s="79"/>
      <c r="L75" s="79"/>
    </row>
    <row r="76" spans="1:12" ht="15.75">
      <c r="A76" s="78"/>
      <c r="B76" s="76"/>
      <c r="C76" s="76"/>
      <c r="D76" s="75"/>
      <c r="E76" s="75"/>
      <c r="F76" s="75"/>
      <c r="G76" s="75"/>
      <c r="H76" s="75"/>
      <c r="I76" s="75"/>
      <c r="J76" s="75"/>
      <c r="K76" s="79"/>
      <c r="L76" s="79"/>
    </row>
    <row r="77" spans="1:12" ht="15.75">
      <c r="A77" s="78"/>
      <c r="B77" s="76"/>
      <c r="C77" s="76"/>
      <c r="D77" s="75"/>
      <c r="E77" s="75"/>
      <c r="F77" s="75"/>
      <c r="G77" s="75"/>
      <c r="H77" s="75"/>
      <c r="I77" s="75"/>
      <c r="J77" s="75"/>
      <c r="K77" s="79"/>
      <c r="L77" s="79"/>
    </row>
    <row r="78" spans="1:12" ht="15.75">
      <c r="A78" s="78"/>
      <c r="B78" s="76"/>
      <c r="C78" s="76"/>
      <c r="D78" s="75"/>
      <c r="E78" s="75"/>
      <c r="F78" s="75"/>
      <c r="G78" s="75"/>
      <c r="H78" s="75"/>
      <c r="I78" s="75"/>
      <c r="J78" s="75"/>
      <c r="K78" s="79"/>
      <c r="L78" s="79"/>
    </row>
    <row r="79" spans="1:12" ht="15.75">
      <c r="A79" s="78"/>
      <c r="B79" s="76"/>
      <c r="C79" s="76"/>
      <c r="D79" s="75"/>
      <c r="E79" s="75"/>
      <c r="F79" s="75"/>
      <c r="G79" s="75"/>
      <c r="H79" s="75"/>
      <c r="I79" s="75"/>
      <c r="J79" s="75"/>
      <c r="K79" s="79"/>
      <c r="L79" s="79"/>
    </row>
    <row r="80" spans="1:12" ht="15.75">
      <c r="A80" s="78"/>
      <c r="B80" s="76"/>
      <c r="C80" s="76"/>
      <c r="D80" s="75"/>
      <c r="E80" s="75"/>
      <c r="F80" s="75"/>
      <c r="G80" s="75"/>
      <c r="H80" s="75"/>
      <c r="I80" s="75"/>
      <c r="J80" s="75"/>
      <c r="K80" s="79"/>
      <c r="L80" s="79"/>
    </row>
    <row r="81" spans="1:12" ht="15.75">
      <c r="A81" s="78"/>
      <c r="B81" s="76"/>
      <c r="C81" s="76"/>
      <c r="D81" s="75"/>
      <c r="E81" s="75"/>
      <c r="F81" s="75"/>
      <c r="G81" s="75"/>
      <c r="H81" s="75"/>
      <c r="I81" s="75"/>
      <c r="J81" s="75"/>
      <c r="K81" s="79"/>
      <c r="L81" s="79"/>
    </row>
    <row r="82" spans="1:12" ht="15.75">
      <c r="A82" s="78"/>
      <c r="B82" s="76"/>
      <c r="C82" s="76"/>
      <c r="D82" s="75"/>
      <c r="E82" s="75"/>
      <c r="F82" s="75"/>
      <c r="G82" s="75"/>
      <c r="H82" s="75"/>
      <c r="I82" s="75"/>
      <c r="J82" s="75"/>
      <c r="K82" s="79"/>
      <c r="L82" s="79"/>
    </row>
    <row r="83" spans="1:12" ht="15.75">
      <c r="A83" s="78"/>
      <c r="B83" s="76"/>
      <c r="C83" s="76"/>
      <c r="D83" s="75"/>
      <c r="E83" s="75"/>
      <c r="F83" s="75"/>
      <c r="G83" s="75"/>
      <c r="H83" s="75"/>
      <c r="I83" s="75"/>
      <c r="J83" s="75"/>
      <c r="K83" s="79"/>
      <c r="L83" s="79"/>
    </row>
    <row r="84" spans="1:12" ht="15.75">
      <c r="A84" s="78"/>
      <c r="B84" s="76"/>
      <c r="C84" s="76"/>
      <c r="D84" s="75"/>
      <c r="E84" s="75"/>
      <c r="F84" s="75"/>
      <c r="G84" s="75"/>
      <c r="H84" s="75"/>
      <c r="I84" s="75"/>
      <c r="J84" s="75"/>
      <c r="K84" s="79"/>
      <c r="L84" s="79"/>
    </row>
    <row r="85" spans="1:12" ht="15.75">
      <c r="A85" s="78"/>
      <c r="B85" s="76"/>
      <c r="C85" s="76"/>
      <c r="D85" s="75"/>
      <c r="E85" s="75"/>
      <c r="F85" s="75"/>
      <c r="G85" s="75"/>
      <c r="H85" s="75"/>
      <c r="I85" s="75"/>
      <c r="J85" s="75"/>
      <c r="K85" s="79"/>
      <c r="L85" s="79"/>
    </row>
    <row r="86" spans="1:12" ht="15.75">
      <c r="A86" s="78"/>
      <c r="B86" s="76"/>
      <c r="C86" s="76"/>
      <c r="D86" s="75"/>
      <c r="E86" s="75"/>
      <c r="F86" s="75"/>
      <c r="G86" s="75"/>
      <c r="H86" s="75"/>
      <c r="I86" s="75"/>
      <c r="J86" s="75"/>
      <c r="K86" s="79"/>
      <c r="L86" s="79"/>
    </row>
    <row r="87" spans="1:12" ht="15.75">
      <c r="A87" s="78"/>
      <c r="B87" s="76"/>
      <c r="C87" s="76"/>
      <c r="D87" s="75"/>
      <c r="E87" s="75"/>
      <c r="F87" s="75"/>
      <c r="G87" s="75"/>
      <c r="H87" s="75"/>
      <c r="I87" s="75"/>
      <c r="J87" s="75"/>
      <c r="K87" s="79"/>
      <c r="L87" s="79"/>
    </row>
    <row r="88" spans="1:12" ht="15.75">
      <c r="A88" s="78"/>
      <c r="B88" s="76"/>
      <c r="C88" s="76"/>
      <c r="D88" s="75"/>
      <c r="E88" s="75"/>
      <c r="F88" s="75"/>
      <c r="G88" s="75"/>
      <c r="H88" s="75"/>
      <c r="I88" s="75"/>
      <c r="J88" s="75"/>
      <c r="K88" s="79"/>
      <c r="L88" s="79"/>
    </row>
    <row r="89" spans="1:12" ht="15.75">
      <c r="A89" s="78"/>
      <c r="B89" s="76"/>
      <c r="C89" s="76"/>
      <c r="D89" s="75"/>
      <c r="E89" s="75"/>
      <c r="F89" s="75"/>
      <c r="G89" s="75"/>
      <c r="H89" s="75"/>
      <c r="I89" s="75"/>
      <c r="J89" s="75"/>
      <c r="K89" s="79"/>
      <c r="L89" s="79"/>
    </row>
    <row r="90" spans="1:12" ht="15.75">
      <c r="A90" s="78"/>
      <c r="B90" s="76"/>
      <c r="C90" s="76"/>
      <c r="D90" s="75"/>
      <c r="E90" s="75"/>
      <c r="F90" s="75"/>
      <c r="G90" s="75"/>
      <c r="H90" s="75"/>
      <c r="I90" s="75"/>
      <c r="J90" s="75"/>
      <c r="K90" s="79"/>
      <c r="L90" s="79"/>
    </row>
    <row r="91" spans="1:12" ht="15.75">
      <c r="A91" s="78"/>
      <c r="B91" s="76"/>
      <c r="C91" s="76"/>
      <c r="D91" s="75"/>
      <c r="E91" s="75"/>
      <c r="F91" s="75"/>
      <c r="G91" s="75"/>
      <c r="H91" s="75"/>
      <c r="I91" s="75"/>
      <c r="J91" s="75"/>
      <c r="K91" s="79"/>
      <c r="L91" s="79"/>
    </row>
    <row r="92" spans="1:12" ht="15.75">
      <c r="A92" s="78"/>
      <c r="B92" s="76"/>
      <c r="C92" s="76"/>
      <c r="D92" s="75"/>
      <c r="E92" s="75"/>
      <c r="F92" s="75"/>
      <c r="G92" s="75"/>
      <c r="H92" s="75"/>
      <c r="I92" s="75"/>
      <c r="J92" s="75"/>
      <c r="K92" s="79"/>
      <c r="L92" s="79"/>
    </row>
    <row r="93" spans="1:12" ht="15.75">
      <c r="A93" s="78"/>
      <c r="B93" s="76"/>
      <c r="C93" s="76"/>
      <c r="D93" s="75"/>
      <c r="E93" s="75"/>
      <c r="F93" s="75"/>
      <c r="G93" s="75"/>
      <c r="H93" s="75"/>
      <c r="I93" s="75"/>
      <c r="J93" s="75"/>
      <c r="K93" s="79"/>
      <c r="L93" s="79"/>
    </row>
    <row r="94" spans="1:12" ht="15.75">
      <c r="A94" s="78"/>
      <c r="B94" s="76"/>
      <c r="C94" s="76"/>
      <c r="D94" s="75"/>
      <c r="E94" s="75"/>
      <c r="F94" s="75"/>
      <c r="G94" s="75"/>
      <c r="H94" s="75"/>
      <c r="I94" s="75"/>
      <c r="J94" s="75"/>
      <c r="K94" s="79"/>
      <c r="L94" s="79"/>
    </row>
    <row r="95" spans="1:12" ht="15.75">
      <c r="A95" s="78"/>
      <c r="B95" s="76"/>
      <c r="C95" s="76"/>
      <c r="D95" s="75"/>
      <c r="E95" s="75"/>
      <c r="F95" s="75"/>
      <c r="G95" s="75"/>
      <c r="H95" s="75"/>
      <c r="I95" s="75"/>
      <c r="J95" s="75"/>
      <c r="K95" s="79"/>
      <c r="L95" s="79"/>
    </row>
    <row r="96" spans="1:12" ht="15.75">
      <c r="A96" s="78"/>
      <c r="B96" s="76"/>
      <c r="C96" s="76"/>
      <c r="D96" s="75"/>
      <c r="E96" s="75"/>
      <c r="F96" s="75"/>
      <c r="G96" s="75"/>
      <c r="H96" s="75"/>
      <c r="I96" s="75"/>
      <c r="J96" s="75"/>
      <c r="K96" s="79"/>
      <c r="L96" s="79"/>
    </row>
    <row r="97" spans="1:12" ht="15.75">
      <c r="A97" s="78"/>
      <c r="B97" s="76"/>
      <c r="C97" s="76"/>
      <c r="D97" s="75"/>
      <c r="E97" s="75"/>
      <c r="F97" s="75"/>
      <c r="G97" s="75"/>
      <c r="H97" s="75"/>
      <c r="I97" s="75"/>
      <c r="J97" s="75"/>
      <c r="K97" s="79"/>
      <c r="L97" s="79"/>
    </row>
    <row r="98" spans="1:12" ht="15.75">
      <c r="A98" s="78"/>
      <c r="B98" s="76"/>
      <c r="C98" s="76"/>
      <c r="D98" s="75"/>
      <c r="E98" s="75"/>
      <c r="F98" s="75"/>
      <c r="G98" s="75"/>
      <c r="H98" s="75"/>
      <c r="I98" s="75"/>
      <c r="J98" s="75"/>
      <c r="K98" s="79"/>
      <c r="L98" s="79"/>
    </row>
    <row r="99" spans="1:12" ht="15.75">
      <c r="A99" s="78"/>
      <c r="B99" s="76"/>
      <c r="C99" s="76"/>
      <c r="D99" s="75"/>
      <c r="E99" s="75"/>
      <c r="F99" s="75"/>
      <c r="G99" s="75"/>
      <c r="H99" s="75"/>
      <c r="I99" s="75"/>
      <c r="J99" s="75"/>
      <c r="K99" s="79"/>
      <c r="L99" s="79"/>
    </row>
    <row r="100" spans="1:12" ht="15.75">
      <c r="A100" s="78"/>
      <c r="B100" s="76"/>
      <c r="C100" s="76"/>
      <c r="D100" s="75"/>
      <c r="E100" s="75"/>
      <c r="F100" s="75"/>
      <c r="G100" s="75"/>
      <c r="H100" s="75"/>
      <c r="I100" s="75"/>
      <c r="J100" s="75"/>
      <c r="K100" s="79"/>
      <c r="L100" s="79"/>
    </row>
    <row r="101" spans="1:12" ht="15.75">
      <c r="A101" s="78"/>
      <c r="B101" s="76"/>
      <c r="C101" s="76"/>
      <c r="D101" s="75"/>
      <c r="E101" s="75"/>
      <c r="F101" s="75"/>
      <c r="G101" s="75"/>
      <c r="H101" s="75"/>
      <c r="I101" s="75"/>
      <c r="J101" s="75"/>
      <c r="K101" s="79"/>
      <c r="L101" s="79"/>
    </row>
    <row r="102" spans="1:12" ht="15.75">
      <c r="A102" s="78"/>
      <c r="B102" s="76"/>
      <c r="C102" s="76"/>
      <c r="D102" s="75"/>
      <c r="E102" s="75"/>
      <c r="F102" s="75"/>
      <c r="G102" s="75"/>
      <c r="H102" s="75"/>
      <c r="I102" s="75"/>
      <c r="J102" s="75"/>
      <c r="K102" s="79"/>
      <c r="L102" s="79"/>
    </row>
    <row r="103" spans="1:12" ht="15.75">
      <c r="A103" s="78"/>
      <c r="B103" s="76"/>
      <c r="C103" s="76"/>
      <c r="D103" s="75"/>
      <c r="E103" s="75"/>
      <c r="F103" s="75"/>
      <c r="G103" s="75"/>
      <c r="H103" s="75"/>
      <c r="I103" s="75"/>
      <c r="J103" s="75"/>
      <c r="K103" s="79"/>
      <c r="L103" s="79"/>
    </row>
    <row r="104" spans="1:12" ht="15.75">
      <c r="A104" s="78"/>
      <c r="B104" s="76"/>
      <c r="C104" s="76"/>
      <c r="D104" s="75"/>
      <c r="E104" s="75"/>
      <c r="F104" s="75"/>
      <c r="G104" s="75"/>
      <c r="H104" s="75"/>
      <c r="I104" s="75"/>
      <c r="J104" s="75"/>
      <c r="K104" s="79"/>
      <c r="L104" s="79"/>
    </row>
    <row r="105" spans="1:12" ht="15.75">
      <c r="A105" s="78"/>
      <c r="B105" s="76"/>
      <c r="C105" s="76"/>
      <c r="D105" s="75"/>
      <c r="E105" s="75"/>
      <c r="F105" s="75"/>
      <c r="G105" s="75"/>
      <c r="H105" s="75"/>
      <c r="I105" s="75"/>
      <c r="J105" s="75"/>
      <c r="K105" s="79"/>
      <c r="L105" s="79"/>
    </row>
    <row r="106" spans="1:12" ht="15.75">
      <c r="A106" s="78"/>
      <c r="B106" s="76"/>
      <c r="C106" s="76"/>
      <c r="D106" s="75"/>
      <c r="E106" s="75"/>
      <c r="F106" s="75"/>
      <c r="G106" s="75"/>
      <c r="H106" s="75"/>
      <c r="I106" s="75"/>
      <c r="J106" s="75"/>
      <c r="K106" s="79"/>
      <c r="L106" s="79"/>
    </row>
    <row r="107" spans="1:12" ht="15.75">
      <c r="A107" s="78"/>
      <c r="B107" s="76"/>
      <c r="C107" s="76"/>
      <c r="D107" s="75"/>
      <c r="E107" s="75"/>
      <c r="F107" s="75"/>
      <c r="G107" s="75"/>
      <c r="H107" s="75"/>
      <c r="I107" s="75"/>
      <c r="J107" s="75"/>
      <c r="K107" s="79"/>
      <c r="L107" s="79"/>
    </row>
    <row r="108" spans="1:12" ht="15.75">
      <c r="A108" s="78"/>
      <c r="B108" s="76"/>
      <c r="C108" s="76"/>
      <c r="D108" s="75"/>
      <c r="E108" s="75"/>
      <c r="F108" s="75"/>
      <c r="G108" s="75"/>
      <c r="H108" s="75"/>
      <c r="I108" s="75"/>
      <c r="J108" s="75"/>
      <c r="K108" s="79"/>
      <c r="L108" s="79"/>
    </row>
    <row r="109" spans="1:12" ht="15.75">
      <c r="A109" s="78"/>
      <c r="B109" s="76"/>
      <c r="C109" s="76"/>
      <c r="D109" s="75"/>
      <c r="E109" s="75"/>
      <c r="F109" s="75"/>
      <c r="G109" s="75"/>
      <c r="H109" s="75"/>
      <c r="I109" s="75"/>
      <c r="J109" s="75"/>
      <c r="K109" s="79"/>
      <c r="L109" s="79"/>
    </row>
    <row r="110" spans="1:12" ht="15.75">
      <c r="A110" s="78"/>
      <c r="B110" s="76"/>
      <c r="C110" s="76"/>
      <c r="D110" s="75"/>
      <c r="E110" s="75"/>
      <c r="F110" s="75"/>
      <c r="G110" s="75"/>
      <c r="H110" s="75"/>
      <c r="I110" s="75"/>
      <c r="J110" s="75"/>
      <c r="K110" s="79"/>
      <c r="L110" s="79"/>
    </row>
    <row r="111" spans="1:12" ht="15.75">
      <c r="A111" s="78"/>
      <c r="B111" s="76"/>
      <c r="C111" s="76"/>
      <c r="D111" s="75"/>
      <c r="E111" s="75"/>
      <c r="F111" s="75"/>
      <c r="G111" s="75"/>
      <c r="H111" s="75"/>
      <c r="I111" s="75"/>
      <c r="J111" s="75"/>
      <c r="K111" s="79"/>
      <c r="L111" s="79"/>
    </row>
    <row r="112" spans="1:12" ht="15.75">
      <c r="A112" s="78"/>
      <c r="B112" s="76"/>
      <c r="C112" s="76"/>
      <c r="D112" s="75"/>
      <c r="E112" s="75"/>
      <c r="F112" s="75"/>
      <c r="G112" s="75"/>
      <c r="H112" s="75"/>
      <c r="I112" s="75"/>
      <c r="J112" s="75"/>
      <c r="K112" s="79"/>
      <c r="L112" s="79"/>
    </row>
    <row r="113" spans="1:12" ht="15.75">
      <c r="A113" s="78"/>
      <c r="B113" s="76"/>
      <c r="C113" s="76"/>
      <c r="D113" s="75"/>
      <c r="E113" s="75"/>
      <c r="F113" s="75"/>
      <c r="G113" s="75"/>
      <c r="H113" s="75"/>
      <c r="I113" s="75"/>
      <c r="J113" s="75"/>
      <c r="K113" s="79"/>
      <c r="L113" s="79"/>
    </row>
    <row r="114" spans="1:12" ht="15.75">
      <c r="A114" s="78"/>
      <c r="B114" s="76"/>
      <c r="C114" s="76"/>
      <c r="D114" s="75"/>
      <c r="E114" s="75"/>
      <c r="F114" s="75"/>
      <c r="G114" s="75"/>
      <c r="H114" s="75"/>
      <c r="I114" s="75"/>
      <c r="J114" s="75"/>
      <c r="K114" s="79"/>
      <c r="L114" s="79"/>
    </row>
    <row r="115" spans="1:12" ht="15.75">
      <c r="A115" s="78"/>
      <c r="B115" s="76"/>
      <c r="C115" s="76"/>
      <c r="D115" s="75"/>
      <c r="E115" s="75"/>
      <c r="F115" s="75"/>
      <c r="G115" s="75"/>
      <c r="H115" s="75"/>
      <c r="I115" s="75"/>
      <c r="J115" s="75"/>
      <c r="K115" s="79"/>
      <c r="L115" s="79"/>
    </row>
    <row r="116" spans="1:12" ht="15.75">
      <c r="A116" s="78"/>
      <c r="B116" s="76"/>
      <c r="C116" s="76"/>
      <c r="D116" s="75"/>
      <c r="E116" s="75"/>
      <c r="F116" s="75"/>
      <c r="G116" s="75"/>
      <c r="H116" s="75"/>
      <c r="I116" s="75"/>
      <c r="J116" s="75"/>
      <c r="K116" s="79"/>
      <c r="L116" s="79"/>
    </row>
    <row r="117" spans="1:12" ht="15.75">
      <c r="A117" s="78"/>
      <c r="B117" s="76"/>
      <c r="C117" s="76"/>
      <c r="D117" s="75"/>
      <c r="E117" s="75"/>
      <c r="F117" s="75"/>
      <c r="G117" s="75"/>
      <c r="H117" s="75"/>
      <c r="I117" s="75"/>
      <c r="J117" s="75"/>
      <c r="K117" s="79"/>
      <c r="L117" s="79"/>
    </row>
    <row r="118" spans="1:12" ht="15.75">
      <c r="A118" s="78"/>
      <c r="B118" s="76"/>
      <c r="C118" s="76"/>
      <c r="D118" s="75"/>
      <c r="E118" s="75"/>
      <c r="F118" s="75"/>
      <c r="G118" s="75"/>
      <c r="H118" s="75"/>
      <c r="I118" s="75"/>
      <c r="J118" s="75"/>
      <c r="K118" s="79"/>
      <c r="L118" s="79"/>
    </row>
    <row r="119" spans="1:12" ht="15.75">
      <c r="A119" s="78"/>
      <c r="B119" s="76"/>
      <c r="C119" s="76"/>
      <c r="D119" s="75"/>
      <c r="E119" s="75"/>
      <c r="F119" s="75"/>
      <c r="G119" s="75"/>
      <c r="H119" s="75"/>
      <c r="I119" s="75"/>
      <c r="J119" s="75"/>
      <c r="K119" s="79"/>
      <c r="L119" s="79"/>
    </row>
    <row r="120" spans="1:12" ht="15.75">
      <c r="A120" s="78"/>
      <c r="B120" s="76"/>
      <c r="C120" s="76"/>
      <c r="D120" s="75"/>
      <c r="E120" s="75"/>
      <c r="F120" s="75"/>
      <c r="G120" s="75"/>
      <c r="H120" s="75"/>
      <c r="I120" s="75"/>
      <c r="J120" s="75"/>
      <c r="K120" s="79"/>
      <c r="L120" s="79"/>
    </row>
    <row r="121" spans="1:12" ht="15.75">
      <c r="A121" s="78"/>
      <c r="B121" s="76"/>
      <c r="C121" s="76"/>
      <c r="D121" s="75"/>
      <c r="E121" s="75"/>
      <c r="F121" s="75"/>
      <c r="G121" s="75"/>
      <c r="H121" s="75"/>
      <c r="I121" s="75"/>
      <c r="J121" s="75"/>
      <c r="K121" s="79"/>
      <c r="L121" s="79"/>
    </row>
    <row r="122" spans="1:12" ht="15.75">
      <c r="A122" s="78"/>
      <c r="B122" s="76"/>
      <c r="C122" s="76"/>
      <c r="D122" s="75"/>
      <c r="E122" s="75"/>
      <c r="F122" s="75"/>
      <c r="G122" s="75"/>
      <c r="H122" s="75"/>
      <c r="I122" s="75"/>
      <c r="J122" s="75"/>
      <c r="K122" s="79"/>
      <c r="L122" s="79"/>
    </row>
    <row r="123" spans="1:12" ht="15.75">
      <c r="A123" s="78"/>
      <c r="B123" s="76"/>
      <c r="C123" s="76"/>
      <c r="D123" s="75"/>
      <c r="E123" s="75"/>
      <c r="F123" s="75"/>
      <c r="G123" s="75"/>
      <c r="H123" s="75"/>
      <c r="I123" s="75"/>
      <c r="J123" s="75"/>
      <c r="K123" s="79"/>
      <c r="L123" s="79"/>
    </row>
    <row r="124" spans="1:12" ht="15.75">
      <c r="A124" s="78"/>
      <c r="B124" s="76"/>
      <c r="C124" s="76"/>
      <c r="D124" s="75"/>
      <c r="E124" s="75"/>
      <c r="F124" s="75"/>
      <c r="G124" s="75"/>
      <c r="H124" s="75"/>
      <c r="I124" s="75"/>
      <c r="J124" s="75"/>
      <c r="K124" s="79"/>
      <c r="L124" s="79"/>
    </row>
    <row r="125" spans="1:12" ht="15.75">
      <c r="A125" s="78"/>
      <c r="B125" s="76"/>
      <c r="C125" s="76"/>
      <c r="D125" s="75"/>
      <c r="E125" s="75"/>
      <c r="F125" s="75"/>
      <c r="G125" s="75"/>
      <c r="H125" s="75"/>
      <c r="I125" s="75"/>
      <c r="J125" s="75"/>
      <c r="K125" s="79"/>
      <c r="L125" s="79"/>
    </row>
    <row r="126" spans="1:12" ht="15.75">
      <c r="A126" s="78"/>
      <c r="B126" s="76"/>
      <c r="C126" s="76"/>
      <c r="D126" s="75"/>
      <c r="E126" s="75"/>
      <c r="F126" s="75"/>
      <c r="G126" s="75"/>
      <c r="H126" s="75"/>
      <c r="I126" s="75"/>
      <c r="J126" s="75"/>
      <c r="K126" s="79"/>
      <c r="L126" s="79"/>
    </row>
    <row r="127" spans="1:12" ht="15.75">
      <c r="A127" s="78"/>
      <c r="B127" s="76"/>
      <c r="C127" s="76"/>
      <c r="D127" s="75"/>
      <c r="E127" s="75"/>
      <c r="F127" s="75"/>
      <c r="G127" s="75"/>
      <c r="H127" s="75"/>
      <c r="I127" s="75"/>
      <c r="J127" s="75"/>
      <c r="K127" s="79"/>
      <c r="L127" s="79"/>
    </row>
    <row r="128" spans="1:12" ht="15.75">
      <c r="A128" s="78"/>
      <c r="B128" s="76"/>
      <c r="C128" s="76"/>
      <c r="D128" s="75"/>
      <c r="E128" s="75"/>
      <c r="F128" s="75"/>
      <c r="G128" s="75"/>
      <c r="H128" s="75"/>
      <c r="I128" s="75"/>
      <c r="J128" s="75"/>
      <c r="K128" s="79"/>
      <c r="L128" s="79"/>
    </row>
    <row r="129" spans="1:12" ht="15.75">
      <c r="A129" s="78"/>
      <c r="B129" s="76"/>
      <c r="C129" s="76"/>
      <c r="D129" s="75"/>
      <c r="E129" s="75"/>
      <c r="F129" s="75"/>
      <c r="G129" s="75"/>
      <c r="H129" s="75"/>
      <c r="I129" s="75"/>
      <c r="J129" s="75"/>
      <c r="K129" s="79"/>
      <c r="L129" s="79"/>
    </row>
    <row r="130" spans="1:12" ht="15.75">
      <c r="A130" s="78"/>
      <c r="B130" s="76"/>
      <c r="C130" s="76"/>
      <c r="D130" s="75"/>
      <c r="E130" s="75"/>
      <c r="F130" s="75"/>
      <c r="G130" s="75"/>
      <c r="H130" s="75"/>
      <c r="I130" s="75"/>
      <c r="J130" s="75"/>
      <c r="K130" s="79"/>
      <c r="L130" s="79"/>
    </row>
    <row r="131" spans="1:12" ht="15.75">
      <c r="A131" s="78"/>
      <c r="B131" s="76"/>
      <c r="C131" s="76"/>
      <c r="D131" s="75"/>
      <c r="E131" s="75"/>
      <c r="F131" s="75"/>
      <c r="G131" s="75"/>
      <c r="H131" s="75"/>
      <c r="I131" s="75"/>
      <c r="J131" s="75"/>
      <c r="K131" s="79"/>
      <c r="L131" s="79"/>
    </row>
    <row r="132" spans="1:12" ht="15.75">
      <c r="A132" s="78"/>
      <c r="B132" s="76"/>
      <c r="C132" s="76"/>
      <c r="D132" s="75"/>
      <c r="E132" s="75"/>
      <c r="F132" s="75"/>
      <c r="G132" s="75"/>
      <c r="H132" s="75"/>
      <c r="I132" s="75"/>
      <c r="J132" s="75"/>
      <c r="K132" s="79"/>
      <c r="L132" s="79"/>
    </row>
    <row r="133" spans="1:12" ht="15.75">
      <c r="A133" s="78"/>
      <c r="B133" s="76"/>
      <c r="C133" s="76"/>
      <c r="D133" s="75"/>
      <c r="E133" s="75"/>
      <c r="F133" s="75"/>
      <c r="G133" s="75"/>
      <c r="H133" s="75"/>
      <c r="I133" s="75"/>
      <c r="J133" s="75"/>
      <c r="K133" s="79"/>
      <c r="L133" s="79"/>
    </row>
    <row r="134" spans="1:12" ht="15.75">
      <c r="A134" s="78"/>
      <c r="B134" s="76"/>
      <c r="C134" s="76"/>
      <c r="D134" s="75"/>
      <c r="E134" s="75"/>
      <c r="F134" s="75"/>
      <c r="G134" s="75"/>
      <c r="H134" s="75"/>
      <c r="I134" s="75"/>
      <c r="J134" s="75"/>
      <c r="K134" s="79"/>
      <c r="L134" s="79"/>
    </row>
    <row r="135" spans="1:12" ht="15.75">
      <c r="A135" s="78"/>
      <c r="B135" s="76"/>
      <c r="C135" s="76"/>
      <c r="D135" s="75"/>
      <c r="E135" s="75"/>
      <c r="F135" s="75"/>
      <c r="G135" s="75"/>
      <c r="H135" s="75"/>
      <c r="I135" s="75"/>
      <c r="J135" s="75"/>
      <c r="K135" s="79"/>
      <c r="L135" s="79"/>
    </row>
    <row r="136" spans="1:12" ht="15.75">
      <c r="A136" s="78"/>
      <c r="B136" s="76"/>
      <c r="C136" s="76"/>
      <c r="D136" s="75"/>
      <c r="E136" s="75"/>
      <c r="F136" s="75"/>
      <c r="G136" s="75"/>
      <c r="H136" s="75"/>
      <c r="I136" s="75"/>
      <c r="J136" s="75"/>
      <c r="K136" s="79"/>
      <c r="L136" s="79"/>
    </row>
    <row r="137" spans="1:12" ht="15.75">
      <c r="A137" s="78"/>
      <c r="B137" s="76"/>
      <c r="C137" s="76"/>
      <c r="D137" s="75"/>
      <c r="E137" s="75"/>
      <c r="F137" s="75"/>
      <c r="G137" s="75"/>
      <c r="H137" s="75"/>
      <c r="I137" s="75"/>
      <c r="J137" s="75"/>
      <c r="K137" s="79"/>
      <c r="L137" s="79"/>
    </row>
    <row r="138" spans="1:12" ht="15.75">
      <c r="A138" s="78"/>
      <c r="B138" s="76"/>
      <c r="C138" s="76"/>
      <c r="D138" s="75"/>
      <c r="E138" s="75"/>
      <c r="F138" s="75"/>
      <c r="G138" s="75"/>
      <c r="H138" s="75"/>
      <c r="I138" s="75"/>
      <c r="J138" s="75"/>
      <c r="K138" s="79"/>
      <c r="L138" s="79"/>
    </row>
    <row r="139" spans="1:12" ht="15.75">
      <c r="A139" s="78"/>
      <c r="B139" s="76"/>
      <c r="C139" s="76"/>
      <c r="D139" s="75"/>
      <c r="E139" s="75"/>
      <c r="F139" s="75"/>
      <c r="G139" s="75"/>
      <c r="H139" s="75"/>
      <c r="I139" s="75"/>
      <c r="J139" s="75"/>
      <c r="K139" s="79"/>
      <c r="L139" s="79"/>
    </row>
    <row r="140" spans="1:12" ht="15.75">
      <c r="A140" s="78"/>
      <c r="B140" s="76"/>
      <c r="C140" s="76"/>
      <c r="D140" s="75"/>
      <c r="E140" s="75"/>
      <c r="F140" s="75"/>
      <c r="G140" s="75"/>
      <c r="H140" s="75"/>
      <c r="I140" s="75"/>
      <c r="J140" s="75"/>
      <c r="K140" s="79"/>
      <c r="L140" s="79"/>
    </row>
    <row r="141" spans="1:12" ht="15.75">
      <c r="A141" s="78"/>
      <c r="B141" s="76"/>
      <c r="C141" s="76"/>
      <c r="D141" s="75"/>
      <c r="E141" s="75"/>
      <c r="F141" s="75"/>
      <c r="G141" s="75"/>
      <c r="H141" s="75"/>
      <c r="I141" s="75"/>
      <c r="J141" s="75"/>
      <c r="K141" s="79"/>
      <c r="L141" s="79"/>
    </row>
    <row r="142" spans="1:12" ht="15.75">
      <c r="A142" s="78"/>
      <c r="B142" s="76"/>
      <c r="C142" s="76"/>
      <c r="D142" s="75"/>
      <c r="E142" s="75"/>
      <c r="F142" s="75"/>
      <c r="G142" s="75"/>
      <c r="H142" s="75"/>
      <c r="I142" s="75"/>
      <c r="J142" s="75"/>
      <c r="K142" s="79"/>
      <c r="L142" s="79"/>
    </row>
    <row r="143" spans="1:12" ht="15.75">
      <c r="A143" s="78"/>
      <c r="B143" s="76"/>
      <c r="C143" s="76"/>
      <c r="D143" s="75"/>
      <c r="E143" s="75"/>
      <c r="F143" s="75"/>
      <c r="G143" s="75"/>
      <c r="H143" s="75"/>
      <c r="I143" s="75"/>
      <c r="J143" s="75"/>
      <c r="K143" s="79"/>
      <c r="L143" s="79"/>
    </row>
    <row r="144" spans="1:12" ht="15.75">
      <c r="A144" s="78"/>
      <c r="B144" s="76"/>
      <c r="C144" s="76"/>
      <c r="D144" s="75"/>
      <c r="E144" s="75"/>
      <c r="F144" s="75"/>
      <c r="G144" s="75"/>
      <c r="H144" s="75"/>
      <c r="I144" s="75"/>
      <c r="J144" s="75"/>
      <c r="K144" s="79"/>
      <c r="L144" s="79"/>
    </row>
    <row r="145" spans="1:12" ht="15.75">
      <c r="A145" s="78"/>
      <c r="B145" s="76"/>
      <c r="C145" s="76"/>
      <c r="D145" s="75"/>
      <c r="E145" s="75"/>
      <c r="F145" s="75"/>
      <c r="G145" s="75"/>
      <c r="H145" s="75"/>
      <c r="I145" s="75"/>
      <c r="J145" s="75"/>
      <c r="K145" s="79"/>
      <c r="L145" s="79"/>
    </row>
    <row r="146" spans="1:12" ht="15.75">
      <c r="A146" s="78"/>
      <c r="B146" s="76"/>
      <c r="C146" s="76"/>
      <c r="D146" s="75"/>
      <c r="E146" s="75"/>
      <c r="F146" s="75"/>
      <c r="G146" s="75"/>
      <c r="H146" s="75"/>
      <c r="I146" s="75"/>
      <c r="J146" s="75"/>
      <c r="K146" s="79"/>
      <c r="L146" s="79"/>
    </row>
    <row r="147" spans="1:12" ht="15.75">
      <c r="A147" s="78"/>
      <c r="B147" s="76"/>
      <c r="C147" s="76"/>
      <c r="D147" s="75"/>
      <c r="E147" s="75"/>
      <c r="F147" s="75"/>
      <c r="G147" s="75"/>
      <c r="H147" s="75"/>
      <c r="I147" s="75"/>
      <c r="J147" s="75"/>
      <c r="K147" s="79"/>
      <c r="L147" s="79"/>
    </row>
    <row r="148" spans="1:12" ht="15.75">
      <c r="A148" s="78"/>
      <c r="B148" s="76"/>
      <c r="C148" s="76"/>
      <c r="D148" s="75"/>
      <c r="E148" s="75"/>
      <c r="F148" s="75"/>
      <c r="G148" s="75"/>
      <c r="H148" s="75"/>
      <c r="I148" s="75"/>
      <c r="J148" s="75"/>
      <c r="K148" s="79"/>
      <c r="L148" s="79"/>
    </row>
    <row r="149" spans="1:12" ht="15.75">
      <c r="A149" s="78"/>
      <c r="B149" s="76"/>
      <c r="C149" s="76"/>
      <c r="D149" s="75"/>
      <c r="E149" s="75"/>
      <c r="F149" s="75"/>
      <c r="G149" s="75"/>
      <c r="H149" s="75"/>
      <c r="I149" s="75"/>
      <c r="J149" s="75"/>
      <c r="K149" s="79"/>
      <c r="L149" s="79"/>
    </row>
    <row r="150" spans="1:12" ht="15.75">
      <c r="A150" s="78"/>
      <c r="B150" s="76"/>
      <c r="C150" s="76"/>
      <c r="D150" s="75"/>
      <c r="E150" s="75"/>
      <c r="F150" s="75"/>
      <c r="G150" s="75"/>
      <c r="H150" s="75"/>
      <c r="I150" s="75"/>
      <c r="J150" s="75"/>
      <c r="K150" s="79"/>
      <c r="L150" s="79"/>
    </row>
    <row r="151" spans="1:12" ht="15.75">
      <c r="A151" s="78"/>
      <c r="B151" s="76"/>
      <c r="C151" s="76"/>
      <c r="D151" s="75"/>
      <c r="E151" s="75"/>
      <c r="F151" s="75"/>
      <c r="G151" s="75"/>
      <c r="H151" s="75"/>
      <c r="I151" s="75"/>
      <c r="J151" s="75"/>
      <c r="K151" s="79"/>
      <c r="L151" s="79"/>
    </row>
    <row r="152" spans="1:12" ht="15.75">
      <c r="A152" s="78"/>
      <c r="B152" s="76"/>
      <c r="C152" s="76"/>
      <c r="D152" s="75"/>
      <c r="E152" s="75"/>
      <c r="F152" s="75"/>
      <c r="G152" s="75"/>
      <c r="H152" s="75"/>
      <c r="I152" s="75"/>
      <c r="J152" s="75"/>
      <c r="K152" s="79"/>
      <c r="L152" s="79"/>
    </row>
    <row r="153" spans="1:12" ht="15.75">
      <c r="A153" s="78"/>
      <c r="B153" s="76"/>
      <c r="C153" s="76"/>
      <c r="D153" s="75"/>
      <c r="E153" s="75"/>
      <c r="F153" s="75"/>
      <c r="G153" s="75"/>
      <c r="H153" s="75"/>
      <c r="I153" s="75"/>
      <c r="J153" s="75"/>
      <c r="K153" s="79"/>
      <c r="L153" s="79"/>
    </row>
    <row r="154" spans="1:12" ht="15.75">
      <c r="A154" s="78"/>
      <c r="B154" s="76"/>
      <c r="C154" s="76"/>
      <c r="D154" s="75"/>
      <c r="E154" s="75"/>
      <c r="F154" s="75"/>
      <c r="G154" s="75"/>
      <c r="H154" s="75"/>
      <c r="I154" s="75"/>
      <c r="J154" s="75"/>
      <c r="K154" s="79"/>
      <c r="L154" s="79"/>
    </row>
    <row r="155" spans="1:12" ht="15.75">
      <c r="A155" s="78"/>
      <c r="B155" s="76"/>
      <c r="C155" s="76"/>
      <c r="D155" s="75"/>
      <c r="E155" s="75"/>
      <c r="F155" s="75"/>
      <c r="G155" s="75"/>
      <c r="H155" s="75"/>
      <c r="I155" s="75"/>
      <c r="J155" s="75"/>
      <c r="K155" s="79"/>
      <c r="L155" s="79"/>
    </row>
    <row r="156" spans="1:12" ht="15.75">
      <c r="A156" s="78"/>
      <c r="B156" s="76"/>
      <c r="C156" s="76"/>
      <c r="D156" s="75"/>
      <c r="E156" s="75"/>
      <c r="F156" s="75"/>
      <c r="G156" s="75"/>
      <c r="H156" s="75"/>
      <c r="I156" s="75"/>
      <c r="J156" s="75"/>
      <c r="K156" s="79"/>
      <c r="L156" s="79"/>
    </row>
    <row r="157" spans="1:12" ht="15.75">
      <c r="A157" s="78"/>
      <c r="B157" s="76"/>
      <c r="C157" s="76"/>
      <c r="D157" s="75"/>
      <c r="E157" s="75"/>
      <c r="F157" s="75"/>
      <c r="G157" s="75"/>
      <c r="H157" s="75"/>
      <c r="I157" s="75"/>
      <c r="J157" s="75"/>
      <c r="K157" s="79"/>
      <c r="L157" s="79"/>
    </row>
    <row r="158" spans="1:12" ht="15.75">
      <c r="A158" s="78"/>
      <c r="B158" s="76"/>
      <c r="C158" s="76"/>
      <c r="D158" s="75"/>
      <c r="E158" s="75"/>
      <c r="F158" s="75"/>
      <c r="G158" s="75"/>
      <c r="H158" s="75"/>
      <c r="I158" s="75"/>
      <c r="J158" s="75"/>
      <c r="K158" s="79"/>
      <c r="L158" s="79"/>
    </row>
    <row r="159" spans="1:12" ht="15.75">
      <c r="A159" s="78"/>
      <c r="B159" s="76"/>
      <c r="C159" s="76"/>
      <c r="D159" s="75"/>
      <c r="E159" s="75"/>
      <c r="F159" s="75"/>
      <c r="G159" s="75"/>
      <c r="H159" s="75"/>
      <c r="I159" s="75"/>
      <c r="J159" s="75"/>
      <c r="K159" s="79"/>
      <c r="L159" s="79"/>
    </row>
    <row r="160" spans="1:12" ht="15.75">
      <c r="A160" s="78"/>
      <c r="B160" s="76"/>
      <c r="C160" s="76"/>
      <c r="D160" s="75"/>
      <c r="E160" s="75"/>
      <c r="F160" s="75"/>
      <c r="G160" s="75"/>
      <c r="H160" s="75"/>
      <c r="I160" s="75"/>
      <c r="J160" s="75"/>
      <c r="K160" s="79"/>
      <c r="L160" s="79"/>
    </row>
    <row r="161" spans="1:12" ht="15.75">
      <c r="A161" s="78"/>
      <c r="B161" s="76"/>
      <c r="C161" s="76"/>
      <c r="D161" s="75"/>
      <c r="E161" s="75"/>
      <c r="F161" s="75"/>
      <c r="G161" s="75"/>
      <c r="H161" s="75"/>
      <c r="I161" s="75"/>
      <c r="J161" s="75"/>
      <c r="K161" s="79"/>
      <c r="L161" s="79"/>
    </row>
    <row r="162" spans="1:12" ht="15.75">
      <c r="A162" s="78"/>
      <c r="B162" s="76"/>
      <c r="C162" s="76"/>
      <c r="D162" s="75"/>
      <c r="E162" s="75"/>
      <c r="F162" s="75"/>
      <c r="G162" s="75"/>
      <c r="H162" s="75"/>
      <c r="I162" s="75"/>
      <c r="J162" s="75"/>
      <c r="K162" s="79"/>
      <c r="L162" s="79"/>
    </row>
    <row r="163" spans="1:12" ht="15.75">
      <c r="A163" s="78"/>
      <c r="B163" s="76"/>
      <c r="C163" s="76"/>
      <c r="D163" s="75"/>
      <c r="E163" s="75"/>
      <c r="F163" s="75"/>
      <c r="G163" s="75"/>
      <c r="H163" s="75"/>
      <c r="I163" s="75"/>
      <c r="J163" s="75"/>
      <c r="K163" s="79"/>
      <c r="L163" s="79"/>
    </row>
    <row r="164" spans="1:12" ht="15.75">
      <c r="A164" s="78"/>
      <c r="B164" s="76"/>
      <c r="C164" s="76"/>
      <c r="D164" s="75"/>
      <c r="E164" s="75"/>
      <c r="F164" s="75"/>
      <c r="G164" s="75"/>
      <c r="H164" s="75"/>
      <c r="I164" s="75"/>
      <c r="J164" s="75"/>
      <c r="K164" s="79"/>
      <c r="L164" s="79"/>
    </row>
    <row r="165" spans="1:12" ht="15.75">
      <c r="A165" s="78"/>
      <c r="B165" s="76"/>
      <c r="C165" s="76"/>
      <c r="D165" s="75"/>
      <c r="E165" s="75"/>
      <c r="F165" s="75"/>
      <c r="G165" s="75"/>
      <c r="H165" s="75"/>
      <c r="I165" s="75"/>
      <c r="J165" s="75"/>
      <c r="K165" s="79"/>
      <c r="L165" s="79"/>
    </row>
    <row r="166" spans="1:12" ht="15.75">
      <c r="A166" s="78"/>
      <c r="B166" s="76"/>
      <c r="C166" s="76"/>
      <c r="D166" s="75"/>
      <c r="E166" s="75"/>
      <c r="F166" s="75"/>
      <c r="G166" s="75"/>
      <c r="H166" s="75"/>
      <c r="I166" s="75"/>
      <c r="J166" s="75"/>
      <c r="K166" s="79"/>
      <c r="L166" s="79"/>
    </row>
    <row r="167" spans="1:12" ht="15.75">
      <c r="A167" s="78"/>
      <c r="B167" s="76"/>
      <c r="C167" s="76"/>
      <c r="D167" s="75"/>
      <c r="E167" s="75"/>
      <c r="F167" s="75"/>
      <c r="G167" s="75"/>
      <c r="H167" s="75"/>
      <c r="I167" s="75"/>
      <c r="J167" s="75"/>
      <c r="K167" s="79"/>
      <c r="L167" s="79"/>
    </row>
    <row r="168" spans="1:12" ht="15.75">
      <c r="A168" s="78"/>
      <c r="B168" s="76"/>
      <c r="C168" s="76"/>
      <c r="D168" s="75"/>
      <c r="E168" s="75"/>
      <c r="F168" s="75"/>
      <c r="G168" s="75"/>
      <c r="H168" s="75"/>
      <c r="I168" s="75"/>
      <c r="J168" s="75"/>
      <c r="K168" s="79"/>
      <c r="L168" s="79"/>
    </row>
    <row r="169" spans="1:12" ht="15.75">
      <c r="A169" s="78"/>
      <c r="B169" s="76"/>
      <c r="C169" s="76"/>
      <c r="D169" s="75"/>
      <c r="E169" s="75"/>
      <c r="F169" s="75"/>
      <c r="G169" s="75"/>
      <c r="H169" s="75"/>
      <c r="I169" s="75"/>
      <c r="J169" s="75"/>
      <c r="K169" s="79"/>
      <c r="L169" s="79"/>
    </row>
    <row r="170" spans="1:12" ht="15.75">
      <c r="A170" s="78"/>
      <c r="B170" s="76"/>
      <c r="C170" s="76"/>
      <c r="D170" s="75"/>
      <c r="E170" s="75"/>
      <c r="F170" s="75"/>
      <c r="G170" s="75"/>
      <c r="H170" s="75"/>
      <c r="I170" s="75"/>
      <c r="J170" s="75"/>
      <c r="K170" s="79"/>
      <c r="L170" s="79"/>
    </row>
    <row r="171" spans="1:12" ht="15.75">
      <c r="A171" s="78"/>
      <c r="B171" s="76"/>
      <c r="C171" s="76"/>
      <c r="D171" s="75"/>
      <c r="E171" s="75"/>
      <c r="F171" s="75"/>
      <c r="G171" s="75"/>
      <c r="H171" s="75"/>
      <c r="I171" s="75"/>
      <c r="J171" s="75"/>
      <c r="K171" s="79"/>
      <c r="L171" s="79"/>
    </row>
    <row r="172" spans="1:12" ht="15.75">
      <c r="A172" s="78"/>
      <c r="B172" s="76"/>
      <c r="C172" s="76"/>
      <c r="D172" s="75"/>
      <c r="E172" s="75"/>
      <c r="F172" s="75"/>
      <c r="G172" s="75"/>
      <c r="H172" s="75"/>
      <c r="I172" s="75"/>
      <c r="J172" s="75"/>
      <c r="K172" s="79"/>
      <c r="L172" s="79"/>
    </row>
    <row r="173" spans="1:12" ht="15.75">
      <c r="A173" s="78"/>
      <c r="B173" s="76"/>
      <c r="C173" s="76"/>
      <c r="D173" s="75"/>
      <c r="E173" s="75"/>
      <c r="F173" s="75"/>
      <c r="G173" s="75"/>
      <c r="H173" s="75"/>
      <c r="I173" s="75"/>
      <c r="J173" s="75"/>
      <c r="K173" s="79"/>
      <c r="L173" s="79"/>
    </row>
    <row r="174" spans="1:12" ht="15.75">
      <c r="A174" s="78"/>
      <c r="B174" s="76"/>
      <c r="C174" s="76"/>
      <c r="D174" s="75"/>
      <c r="E174" s="75"/>
      <c r="F174" s="75"/>
      <c r="G174" s="75"/>
      <c r="H174" s="75"/>
      <c r="I174" s="75"/>
      <c r="J174" s="75"/>
      <c r="K174" s="79"/>
      <c r="L174" s="79"/>
    </row>
    <row r="175" spans="1:12" ht="15.75">
      <c r="A175" s="78"/>
      <c r="B175" s="76"/>
      <c r="C175" s="76"/>
      <c r="D175" s="75"/>
      <c r="E175" s="75"/>
      <c r="F175" s="75"/>
      <c r="G175" s="75"/>
      <c r="H175" s="75"/>
      <c r="I175" s="75"/>
      <c r="J175" s="75"/>
      <c r="K175" s="79"/>
      <c r="L175" s="79"/>
    </row>
    <row r="176" spans="1:12" ht="15.75">
      <c r="A176" s="78"/>
      <c r="B176" s="76"/>
      <c r="C176" s="76"/>
      <c r="D176" s="75"/>
      <c r="E176" s="75"/>
      <c r="F176" s="75"/>
      <c r="G176" s="75"/>
      <c r="H176" s="75"/>
      <c r="I176" s="75"/>
      <c r="J176" s="75"/>
      <c r="K176" s="79"/>
      <c r="L176" s="79"/>
    </row>
    <row r="177" spans="1:12" ht="15.75">
      <c r="A177" s="78"/>
      <c r="B177" s="76"/>
      <c r="C177" s="76"/>
      <c r="D177" s="75"/>
      <c r="E177" s="75"/>
      <c r="F177" s="75"/>
      <c r="G177" s="75"/>
      <c r="H177" s="75"/>
      <c r="I177" s="75"/>
      <c r="J177" s="75"/>
      <c r="K177" s="79"/>
      <c r="L177" s="79"/>
    </row>
    <row r="178" spans="1:12" ht="15.75">
      <c r="A178" s="78"/>
      <c r="B178" s="76"/>
      <c r="C178" s="76"/>
      <c r="D178" s="75"/>
      <c r="E178" s="75"/>
      <c r="F178" s="75"/>
      <c r="G178" s="75"/>
      <c r="H178" s="75"/>
      <c r="I178" s="75"/>
      <c r="J178" s="75"/>
      <c r="K178" s="79"/>
      <c r="L178" s="79"/>
    </row>
    <row r="179" spans="1:12" ht="15.75">
      <c r="A179" s="78"/>
      <c r="B179" s="76"/>
      <c r="C179" s="76"/>
      <c r="D179" s="75"/>
      <c r="E179" s="75"/>
      <c r="F179" s="75"/>
      <c r="G179" s="75"/>
      <c r="H179" s="75"/>
      <c r="I179" s="75"/>
      <c r="J179" s="75"/>
      <c r="K179" s="79"/>
      <c r="L179" s="79"/>
    </row>
    <row r="180" spans="1:12" ht="15.75">
      <c r="A180" s="78"/>
      <c r="B180" s="76"/>
      <c r="C180" s="76"/>
      <c r="D180" s="75"/>
      <c r="E180" s="75"/>
      <c r="F180" s="75"/>
      <c r="G180" s="75"/>
      <c r="H180" s="75"/>
      <c r="I180" s="75"/>
      <c r="J180" s="75"/>
      <c r="K180" s="79"/>
      <c r="L180" s="79"/>
    </row>
    <row r="181" spans="1:12" ht="15.75">
      <c r="A181" s="78"/>
      <c r="B181" s="76"/>
      <c r="C181" s="76"/>
      <c r="D181" s="75"/>
      <c r="E181" s="75"/>
      <c r="F181" s="75"/>
      <c r="G181" s="75"/>
      <c r="H181" s="75"/>
      <c r="I181" s="75"/>
      <c r="J181" s="75"/>
      <c r="K181" s="79"/>
      <c r="L181" s="79"/>
    </row>
    <row r="182" spans="1:12" ht="15.75">
      <c r="A182" s="78"/>
      <c r="B182" s="76"/>
      <c r="C182" s="76"/>
      <c r="D182" s="75"/>
      <c r="E182" s="75"/>
      <c r="F182" s="75"/>
      <c r="G182" s="75"/>
      <c r="H182" s="75"/>
      <c r="I182" s="75"/>
      <c r="J182" s="75"/>
      <c r="K182" s="79"/>
      <c r="L182" s="79"/>
    </row>
    <row r="183" spans="1:12" ht="15.75">
      <c r="A183" s="78"/>
      <c r="B183" s="76"/>
      <c r="C183" s="76"/>
      <c r="D183" s="75"/>
      <c r="E183" s="75"/>
      <c r="F183" s="75"/>
      <c r="G183" s="75"/>
      <c r="H183" s="75"/>
      <c r="I183" s="75"/>
      <c r="J183" s="75"/>
      <c r="K183" s="79"/>
      <c r="L183" s="79"/>
    </row>
    <row r="184" spans="1:12" ht="15.75">
      <c r="A184" s="78"/>
      <c r="B184" s="76"/>
      <c r="C184" s="76"/>
      <c r="D184" s="75"/>
      <c r="E184" s="75"/>
      <c r="F184" s="75"/>
      <c r="G184" s="75"/>
      <c r="H184" s="75"/>
      <c r="I184" s="75"/>
      <c r="J184" s="75"/>
      <c r="K184" s="79"/>
      <c r="L184" s="79"/>
    </row>
    <row r="185" spans="1:12" ht="15.75">
      <c r="A185" s="78"/>
      <c r="B185" s="76"/>
      <c r="C185" s="76"/>
      <c r="D185" s="75"/>
      <c r="E185" s="75"/>
      <c r="F185" s="75"/>
      <c r="G185" s="75"/>
      <c r="H185" s="75"/>
      <c r="I185" s="75"/>
      <c r="J185" s="75"/>
      <c r="K185" s="79"/>
      <c r="L185" s="79"/>
    </row>
    <row r="186" spans="1:12" ht="15.75">
      <c r="A186" s="78"/>
      <c r="B186" s="76"/>
      <c r="C186" s="76"/>
      <c r="D186" s="75"/>
      <c r="E186" s="75"/>
      <c r="F186" s="75"/>
      <c r="G186" s="75"/>
      <c r="H186" s="75"/>
      <c r="I186" s="75"/>
      <c r="J186" s="75"/>
      <c r="K186" s="79"/>
      <c r="L186" s="79"/>
    </row>
    <row r="187" spans="1:12" ht="15.75">
      <c r="A187" s="78"/>
      <c r="B187" s="76"/>
      <c r="C187" s="76"/>
      <c r="D187" s="75"/>
      <c r="E187" s="75"/>
      <c r="F187" s="75"/>
      <c r="G187" s="75"/>
      <c r="H187" s="75"/>
      <c r="I187" s="75"/>
      <c r="J187" s="75"/>
      <c r="K187" s="79"/>
      <c r="L187" s="79"/>
    </row>
    <row r="188" spans="1:12" ht="15.75">
      <c r="A188" s="78"/>
      <c r="B188" s="76"/>
      <c r="C188" s="76"/>
      <c r="D188" s="75"/>
      <c r="E188" s="75"/>
      <c r="F188" s="75"/>
      <c r="G188" s="75"/>
      <c r="H188" s="75"/>
      <c r="I188" s="75"/>
      <c r="J188" s="75"/>
      <c r="K188" s="79"/>
      <c r="L188" s="79"/>
    </row>
    <row r="189" spans="1:12" ht="15.75">
      <c r="A189" s="78"/>
      <c r="B189" s="76"/>
      <c r="C189" s="76"/>
      <c r="D189" s="75"/>
      <c r="E189" s="75"/>
      <c r="F189" s="75"/>
      <c r="G189" s="75"/>
      <c r="H189" s="75"/>
      <c r="I189" s="75"/>
      <c r="J189" s="75"/>
      <c r="K189" s="79"/>
      <c r="L189" s="79"/>
    </row>
    <row r="190" spans="1:12" ht="15.75">
      <c r="A190" s="78"/>
      <c r="B190" s="76"/>
      <c r="C190" s="76"/>
      <c r="D190" s="75"/>
      <c r="E190" s="75"/>
      <c r="F190" s="75"/>
      <c r="G190" s="75"/>
      <c r="H190" s="75"/>
      <c r="I190" s="75"/>
      <c r="J190" s="75"/>
      <c r="K190" s="79"/>
      <c r="L190" s="79"/>
    </row>
    <row r="191" spans="1:12" ht="15.75">
      <c r="A191" s="78"/>
      <c r="B191" s="76"/>
      <c r="C191" s="76"/>
      <c r="D191" s="75"/>
      <c r="E191" s="75"/>
      <c r="F191" s="75"/>
      <c r="G191" s="75"/>
      <c r="H191" s="75"/>
      <c r="I191" s="75"/>
      <c r="J191" s="75"/>
      <c r="K191" s="79"/>
      <c r="L191" s="79"/>
    </row>
    <row r="192" spans="1:12" ht="15.75">
      <c r="A192" s="78"/>
      <c r="B192" s="76"/>
      <c r="C192" s="76"/>
      <c r="D192" s="75"/>
      <c r="E192" s="75"/>
      <c r="F192" s="75"/>
      <c r="G192" s="75"/>
      <c r="H192" s="75"/>
      <c r="I192" s="75"/>
      <c r="J192" s="75"/>
      <c r="K192" s="79"/>
      <c r="L192" s="79"/>
    </row>
    <row r="193" spans="1:12" ht="15.75">
      <c r="A193" s="78"/>
      <c r="B193" s="76"/>
      <c r="C193" s="76"/>
      <c r="D193" s="75"/>
      <c r="E193" s="75"/>
      <c r="F193" s="75"/>
      <c r="G193" s="75"/>
      <c r="H193" s="75"/>
      <c r="I193" s="75"/>
      <c r="J193" s="75"/>
      <c r="K193" s="79"/>
      <c r="L193" s="79"/>
    </row>
    <row r="194" spans="1:12" ht="15.75">
      <c r="A194" s="78"/>
      <c r="B194" s="76"/>
      <c r="C194" s="76"/>
      <c r="D194" s="75"/>
      <c r="E194" s="75"/>
      <c r="F194" s="75"/>
      <c r="G194" s="75"/>
      <c r="H194" s="75"/>
      <c r="I194" s="75"/>
      <c r="J194" s="75"/>
      <c r="K194" s="79"/>
      <c r="L194" s="79"/>
    </row>
    <row r="195" spans="1:12" ht="15.75">
      <c r="A195" s="78"/>
      <c r="B195" s="76"/>
      <c r="C195" s="76"/>
      <c r="D195" s="75"/>
      <c r="E195" s="75"/>
      <c r="F195" s="75"/>
      <c r="G195" s="75"/>
      <c r="H195" s="75"/>
      <c r="I195" s="75"/>
      <c r="J195" s="75"/>
      <c r="K195" s="79"/>
      <c r="L195" s="79"/>
    </row>
    <row r="196" spans="1:12" ht="15.75">
      <c r="A196" s="78"/>
      <c r="B196" s="76"/>
      <c r="C196" s="76"/>
      <c r="D196" s="75"/>
      <c r="E196" s="75"/>
      <c r="F196" s="75"/>
      <c r="G196" s="75"/>
      <c r="H196" s="75"/>
      <c r="I196" s="75"/>
      <c r="J196" s="75"/>
      <c r="K196" s="79"/>
      <c r="L196" s="79"/>
    </row>
    <row r="197" spans="1:12" ht="15.75">
      <c r="A197" s="78"/>
      <c r="B197" s="76"/>
      <c r="C197" s="76"/>
      <c r="D197" s="75"/>
      <c r="E197" s="75"/>
      <c r="F197" s="75"/>
      <c r="G197" s="75"/>
      <c r="H197" s="75"/>
      <c r="I197" s="75"/>
      <c r="J197" s="75"/>
      <c r="K197" s="79"/>
      <c r="L197" s="79"/>
    </row>
    <row r="198" spans="1:12" ht="15.75">
      <c r="A198" s="78"/>
      <c r="B198" s="76"/>
      <c r="C198" s="76"/>
      <c r="D198" s="75"/>
      <c r="E198" s="75"/>
      <c r="F198" s="75"/>
      <c r="G198" s="75"/>
      <c r="H198" s="75"/>
      <c r="I198" s="75"/>
      <c r="J198" s="75"/>
      <c r="K198" s="79"/>
      <c r="L198" s="79"/>
    </row>
    <row r="199" spans="1:12" ht="15.75">
      <c r="A199" s="78"/>
      <c r="B199" s="76"/>
      <c r="C199" s="76"/>
      <c r="D199" s="75"/>
      <c r="E199" s="75"/>
      <c r="F199" s="75"/>
      <c r="G199" s="75"/>
      <c r="H199" s="75"/>
      <c r="I199" s="75"/>
      <c r="J199" s="75"/>
      <c r="K199" s="79"/>
      <c r="L199" s="79"/>
    </row>
    <row r="200" spans="1:12" ht="15.75">
      <c r="A200" s="78"/>
      <c r="B200" s="76"/>
      <c r="C200" s="76"/>
      <c r="D200" s="75"/>
      <c r="E200" s="75"/>
      <c r="F200" s="75"/>
      <c r="G200" s="75"/>
      <c r="H200" s="75"/>
      <c r="I200" s="75"/>
      <c r="J200" s="75"/>
      <c r="K200" s="79"/>
      <c r="L200" s="79"/>
    </row>
    <row r="201" spans="1:12" ht="15.75">
      <c r="A201" s="78"/>
      <c r="B201" s="76"/>
      <c r="C201" s="76"/>
      <c r="D201" s="75"/>
      <c r="E201" s="75"/>
      <c r="F201" s="75"/>
      <c r="G201" s="75"/>
      <c r="H201" s="75"/>
      <c r="I201" s="75"/>
      <c r="J201" s="75"/>
      <c r="K201" s="79"/>
      <c r="L201" s="79"/>
    </row>
    <row r="202" spans="1:12" ht="15.75">
      <c r="A202" s="78"/>
      <c r="B202" s="76"/>
      <c r="C202" s="76"/>
      <c r="D202" s="75"/>
      <c r="E202" s="75"/>
      <c r="F202" s="75"/>
      <c r="G202" s="75"/>
      <c r="H202" s="75"/>
      <c r="I202" s="75"/>
      <c r="J202" s="75"/>
      <c r="K202" s="79"/>
      <c r="L202" s="79"/>
    </row>
    <row r="203" spans="1:12" ht="15.75">
      <c r="A203" s="78"/>
      <c r="B203" s="76"/>
      <c r="C203" s="76"/>
      <c r="D203" s="75"/>
      <c r="E203" s="75"/>
      <c r="F203" s="75"/>
      <c r="G203" s="75"/>
      <c r="H203" s="75"/>
      <c r="I203" s="75"/>
      <c r="J203" s="75"/>
      <c r="K203" s="79"/>
      <c r="L203" s="79"/>
    </row>
    <row r="204" spans="1:12" ht="15.75">
      <c r="A204" s="78"/>
      <c r="B204" s="76"/>
      <c r="C204" s="76"/>
      <c r="D204" s="75"/>
      <c r="E204" s="75"/>
      <c r="F204" s="75"/>
      <c r="G204" s="75"/>
      <c r="H204" s="75"/>
      <c r="I204" s="75"/>
      <c r="J204" s="75"/>
      <c r="K204" s="79"/>
      <c r="L204" s="79"/>
    </row>
    <row r="205" spans="1:12" ht="15.75">
      <c r="A205" s="78"/>
      <c r="B205" s="76"/>
      <c r="C205" s="76"/>
      <c r="D205" s="75"/>
      <c r="E205" s="75"/>
      <c r="F205" s="75"/>
      <c r="G205" s="75"/>
      <c r="H205" s="75"/>
      <c r="I205" s="75"/>
      <c r="J205" s="75"/>
      <c r="K205" s="79"/>
      <c r="L205" s="79"/>
    </row>
    <row r="206" spans="1:12" ht="15.75">
      <c r="A206" s="78"/>
      <c r="B206" s="76"/>
      <c r="C206" s="76"/>
      <c r="D206" s="75"/>
      <c r="E206" s="75"/>
      <c r="F206" s="75"/>
      <c r="G206" s="75"/>
      <c r="H206" s="75"/>
      <c r="I206" s="75"/>
      <c r="J206" s="75"/>
      <c r="K206" s="79"/>
      <c r="L206" s="79"/>
    </row>
    <row r="207" spans="1:12" ht="15.75">
      <c r="A207" s="78"/>
      <c r="B207" s="76"/>
      <c r="C207" s="76"/>
      <c r="D207" s="75"/>
      <c r="E207" s="75"/>
      <c r="F207" s="75"/>
      <c r="G207" s="75"/>
      <c r="H207" s="75"/>
      <c r="I207" s="75"/>
      <c r="J207" s="75"/>
      <c r="K207" s="79"/>
      <c r="L207" s="79"/>
    </row>
    <row r="208" spans="1:12" ht="15.75">
      <c r="A208" s="78"/>
      <c r="B208" s="76"/>
      <c r="C208" s="76"/>
      <c r="D208" s="75"/>
      <c r="E208" s="75"/>
      <c r="F208" s="75"/>
      <c r="G208" s="75"/>
      <c r="H208" s="75"/>
      <c r="I208" s="75"/>
      <c r="J208" s="75"/>
      <c r="K208" s="79"/>
      <c r="L208" s="79"/>
    </row>
    <row r="209" spans="1:12" ht="15.75">
      <c r="A209" s="78"/>
      <c r="B209" s="76"/>
      <c r="C209" s="76"/>
      <c r="D209" s="75"/>
      <c r="E209" s="75"/>
      <c r="F209" s="75"/>
      <c r="G209" s="75"/>
      <c r="H209" s="75"/>
      <c r="I209" s="75"/>
      <c r="J209" s="75"/>
      <c r="K209" s="79"/>
      <c r="L209" s="79"/>
    </row>
    <row r="210" spans="1:12" ht="15.75">
      <c r="A210" s="78"/>
      <c r="B210" s="76"/>
      <c r="C210" s="76"/>
      <c r="D210" s="75"/>
      <c r="E210" s="75"/>
      <c r="F210" s="75"/>
      <c r="G210" s="75"/>
      <c r="H210" s="75"/>
      <c r="I210" s="75"/>
      <c r="J210" s="75"/>
      <c r="K210" s="79"/>
      <c r="L210" s="79"/>
    </row>
    <row r="211" spans="1:12" ht="15.75">
      <c r="A211" s="78"/>
      <c r="B211" s="76"/>
      <c r="C211" s="76"/>
      <c r="D211" s="75"/>
      <c r="E211" s="75"/>
      <c r="F211" s="75"/>
      <c r="G211" s="75"/>
      <c r="H211" s="75"/>
      <c r="I211" s="75"/>
      <c r="J211" s="75"/>
      <c r="K211" s="79"/>
      <c r="L211" s="79"/>
    </row>
    <row r="212" spans="1:12" ht="15.75">
      <c r="A212" s="78"/>
      <c r="B212" s="76"/>
      <c r="C212" s="76"/>
      <c r="D212" s="75"/>
      <c r="E212" s="75"/>
      <c r="F212" s="75"/>
      <c r="G212" s="75"/>
      <c r="H212" s="75"/>
      <c r="I212" s="75"/>
      <c r="J212" s="75"/>
      <c r="K212" s="79"/>
      <c r="L212" s="79"/>
    </row>
    <row r="213" spans="1:12" ht="15.75">
      <c r="A213" s="78"/>
      <c r="B213" s="76"/>
      <c r="C213" s="76"/>
      <c r="D213" s="75"/>
      <c r="E213" s="75"/>
      <c r="F213" s="75"/>
      <c r="G213" s="75"/>
      <c r="H213" s="75"/>
      <c r="I213" s="75"/>
      <c r="J213" s="75"/>
      <c r="K213" s="79"/>
      <c r="L213" s="79"/>
    </row>
    <row r="214" spans="1:12" ht="15.75">
      <c r="A214" s="78"/>
      <c r="B214" s="76"/>
      <c r="C214" s="76"/>
      <c r="D214" s="75"/>
      <c r="E214" s="75"/>
      <c r="F214" s="75"/>
      <c r="G214" s="75"/>
      <c r="H214" s="75"/>
      <c r="I214" s="75"/>
      <c r="J214" s="75"/>
      <c r="K214" s="79"/>
      <c r="L214" s="79"/>
    </row>
    <row r="215" spans="1:12" ht="15.75">
      <c r="A215" s="78"/>
      <c r="B215" s="76"/>
      <c r="C215" s="76"/>
      <c r="D215" s="75"/>
      <c r="E215" s="75"/>
      <c r="F215" s="75"/>
      <c r="G215" s="75"/>
      <c r="H215" s="75"/>
      <c r="I215" s="75"/>
      <c r="J215" s="75"/>
      <c r="K215" s="79"/>
      <c r="L215" s="79"/>
    </row>
    <row r="216" spans="1:12" ht="15.75">
      <c r="A216" s="78"/>
      <c r="B216" s="76"/>
      <c r="C216" s="76"/>
      <c r="D216" s="75"/>
      <c r="E216" s="75"/>
      <c r="F216" s="75"/>
      <c r="G216" s="75"/>
      <c r="H216" s="75"/>
      <c r="I216" s="75"/>
      <c r="J216" s="75"/>
      <c r="K216" s="79"/>
      <c r="L216" s="79"/>
    </row>
    <row r="217" spans="1:12" ht="15.75">
      <c r="A217" s="78"/>
      <c r="B217" s="76"/>
      <c r="C217" s="76"/>
      <c r="D217" s="75"/>
      <c r="E217" s="75"/>
      <c r="F217" s="75"/>
      <c r="G217" s="75"/>
      <c r="H217" s="75"/>
      <c r="I217" s="75"/>
      <c r="J217" s="75"/>
      <c r="K217" s="79"/>
      <c r="L217" s="79"/>
    </row>
    <row r="218" spans="1:12" ht="15.75">
      <c r="A218" s="78"/>
      <c r="B218" s="76"/>
      <c r="C218" s="76"/>
      <c r="D218" s="75"/>
      <c r="E218" s="75"/>
      <c r="F218" s="75"/>
      <c r="G218" s="75"/>
      <c r="H218" s="75"/>
      <c r="I218" s="75"/>
      <c r="J218" s="75"/>
      <c r="K218" s="79"/>
      <c r="L218" s="79"/>
    </row>
    <row r="219" spans="1:12" ht="15.75">
      <c r="A219" s="78"/>
      <c r="B219" s="76"/>
      <c r="C219" s="76"/>
      <c r="D219" s="75"/>
      <c r="E219" s="75"/>
      <c r="F219" s="75"/>
      <c r="G219" s="75"/>
      <c r="H219" s="75"/>
      <c r="I219" s="75"/>
      <c r="J219" s="75"/>
      <c r="K219" s="79"/>
      <c r="L219" s="79"/>
    </row>
    <row r="220" spans="1:12" ht="15.75">
      <c r="A220" s="78"/>
      <c r="B220" s="76"/>
      <c r="C220" s="76"/>
      <c r="D220" s="75"/>
      <c r="E220" s="75"/>
      <c r="F220" s="75"/>
      <c r="G220" s="75"/>
      <c r="H220" s="75"/>
      <c r="I220" s="75"/>
      <c r="J220" s="75"/>
      <c r="K220" s="79"/>
      <c r="L220" s="79"/>
    </row>
    <row r="221" spans="1:12" ht="15.75">
      <c r="A221" s="78"/>
      <c r="B221" s="76"/>
      <c r="C221" s="76"/>
      <c r="D221" s="75"/>
      <c r="E221" s="75"/>
      <c r="F221" s="75"/>
      <c r="G221" s="75"/>
      <c r="H221" s="75"/>
      <c r="I221" s="75"/>
      <c r="J221" s="75"/>
      <c r="K221" s="79"/>
      <c r="L221" s="79"/>
    </row>
    <row r="222" spans="1:12" ht="15.75">
      <c r="A222" s="78"/>
      <c r="B222" s="76"/>
      <c r="C222" s="76"/>
      <c r="D222" s="75"/>
      <c r="E222" s="75"/>
      <c r="F222" s="75"/>
      <c r="G222" s="75"/>
      <c r="H222" s="75"/>
      <c r="I222" s="75"/>
      <c r="J222" s="75"/>
      <c r="K222" s="79"/>
      <c r="L222" s="79"/>
    </row>
    <row r="223" spans="1:12" ht="15.75">
      <c r="A223" s="78"/>
      <c r="B223" s="76"/>
      <c r="C223" s="76"/>
      <c r="D223" s="75"/>
      <c r="E223" s="75"/>
      <c r="F223" s="75"/>
      <c r="G223" s="75"/>
      <c r="H223" s="75"/>
      <c r="I223" s="75"/>
      <c r="J223" s="75"/>
      <c r="K223" s="79"/>
      <c r="L223" s="79"/>
    </row>
    <row r="224" spans="1:12" ht="15.75">
      <c r="A224" s="78"/>
      <c r="B224" s="76"/>
      <c r="C224" s="76"/>
      <c r="D224" s="75"/>
      <c r="E224" s="75"/>
      <c r="F224" s="75"/>
      <c r="G224" s="75"/>
      <c r="H224" s="75"/>
      <c r="I224" s="75"/>
      <c r="J224" s="75"/>
      <c r="K224" s="79"/>
      <c r="L224" s="79"/>
    </row>
    <row r="225" spans="1:12" ht="15.75">
      <c r="A225" s="78"/>
      <c r="B225" s="76"/>
      <c r="C225" s="76"/>
      <c r="D225" s="75"/>
      <c r="E225" s="75"/>
      <c r="F225" s="75"/>
      <c r="G225" s="75"/>
      <c r="H225" s="75"/>
      <c r="I225" s="75"/>
      <c r="J225" s="75"/>
      <c r="K225" s="79"/>
      <c r="L225" s="79"/>
    </row>
    <row r="226" spans="1:12" ht="15.75">
      <c r="A226" s="78"/>
      <c r="B226" s="76"/>
      <c r="C226" s="76"/>
      <c r="D226" s="75"/>
      <c r="E226" s="75"/>
      <c r="F226" s="75"/>
      <c r="G226" s="75"/>
      <c r="H226" s="75"/>
      <c r="I226" s="75"/>
      <c r="J226" s="75"/>
      <c r="K226" s="79"/>
      <c r="L226" s="79"/>
    </row>
    <row r="227" spans="1:12" ht="15.75">
      <c r="A227" s="78"/>
      <c r="B227" s="76"/>
      <c r="C227" s="76"/>
      <c r="D227" s="75"/>
      <c r="E227" s="75"/>
      <c r="F227" s="75"/>
      <c r="G227" s="75"/>
      <c r="H227" s="75"/>
      <c r="I227" s="75"/>
      <c r="J227" s="75"/>
      <c r="K227" s="79"/>
      <c r="L227" s="79"/>
    </row>
    <row r="228" spans="1:12" ht="15.75">
      <c r="A228" s="78"/>
      <c r="B228" s="76"/>
      <c r="C228" s="76"/>
      <c r="D228" s="75"/>
      <c r="E228" s="75"/>
      <c r="F228" s="75"/>
      <c r="G228" s="75"/>
      <c r="H228" s="75"/>
      <c r="I228" s="75"/>
      <c r="J228" s="75"/>
      <c r="K228" s="79"/>
      <c r="L228" s="79"/>
    </row>
    <row r="229" spans="1:12" ht="15.75">
      <c r="A229" s="78"/>
      <c r="B229" s="76"/>
      <c r="C229" s="76"/>
      <c r="D229" s="75"/>
      <c r="E229" s="75"/>
      <c r="F229" s="75"/>
      <c r="G229" s="75"/>
      <c r="H229" s="75"/>
      <c r="I229" s="75"/>
      <c r="J229" s="75"/>
      <c r="K229" s="79"/>
      <c r="L229" s="79"/>
    </row>
    <row r="230" spans="1:12" ht="15.75">
      <c r="A230" s="78"/>
      <c r="B230" s="76"/>
      <c r="C230" s="76"/>
      <c r="D230" s="75"/>
      <c r="E230" s="75"/>
      <c r="F230" s="75"/>
      <c r="G230" s="75"/>
      <c r="H230" s="75"/>
      <c r="I230" s="75"/>
      <c r="J230" s="75"/>
      <c r="K230" s="79"/>
      <c r="L230" s="79"/>
    </row>
    <row r="231" spans="1:12" ht="15.75">
      <c r="A231" s="78"/>
      <c r="B231" s="76"/>
      <c r="C231" s="76"/>
      <c r="D231" s="75"/>
      <c r="E231" s="75"/>
      <c r="F231" s="75"/>
      <c r="G231" s="75"/>
      <c r="H231" s="75"/>
      <c r="I231" s="75"/>
      <c r="J231" s="75"/>
      <c r="K231" s="79"/>
      <c r="L231" s="79"/>
    </row>
    <row r="232" spans="1:12" ht="15.75">
      <c r="A232" s="78"/>
      <c r="B232" s="76"/>
      <c r="C232" s="76"/>
      <c r="D232" s="75"/>
      <c r="E232" s="75"/>
      <c r="F232" s="75"/>
      <c r="G232" s="75"/>
      <c r="H232" s="75"/>
      <c r="I232" s="75"/>
      <c r="J232" s="75"/>
      <c r="K232" s="79"/>
      <c r="L232" s="79"/>
    </row>
    <row r="233" spans="1:12" ht="15.75">
      <c r="A233" s="78"/>
      <c r="B233" s="76"/>
      <c r="C233" s="76"/>
      <c r="D233" s="75"/>
      <c r="E233" s="75"/>
      <c r="F233" s="75"/>
      <c r="G233" s="75"/>
      <c r="H233" s="75"/>
      <c r="I233" s="75"/>
      <c r="J233" s="75"/>
      <c r="K233" s="79"/>
      <c r="L233" s="79"/>
    </row>
    <row r="234" spans="1:12" ht="15.75">
      <c r="A234" s="78"/>
      <c r="B234" s="76"/>
      <c r="C234" s="76"/>
      <c r="D234" s="75"/>
      <c r="E234" s="75"/>
      <c r="F234" s="75"/>
      <c r="G234" s="75"/>
      <c r="H234" s="75"/>
      <c r="I234" s="75"/>
      <c r="J234" s="75"/>
      <c r="K234" s="79"/>
      <c r="L234" s="79"/>
    </row>
    <row r="235" spans="1:12" ht="15.75">
      <c r="A235" s="78"/>
      <c r="B235" s="76"/>
      <c r="C235" s="76"/>
      <c r="D235" s="75"/>
      <c r="E235" s="75"/>
      <c r="F235" s="75"/>
      <c r="G235" s="75"/>
      <c r="H235" s="75"/>
      <c r="I235" s="75"/>
      <c r="J235" s="75"/>
      <c r="K235" s="79"/>
      <c r="L235" s="79"/>
    </row>
    <row r="236" spans="1:12" ht="15.75">
      <c r="A236" s="78"/>
      <c r="B236" s="76"/>
      <c r="C236" s="76"/>
      <c r="D236" s="75"/>
      <c r="E236" s="75"/>
      <c r="F236" s="75"/>
      <c r="G236" s="75"/>
      <c r="H236" s="75"/>
      <c r="I236" s="75"/>
      <c r="J236" s="75"/>
      <c r="K236" s="79"/>
      <c r="L236" s="79"/>
    </row>
    <row r="237" spans="1:12" ht="15.75">
      <c r="A237" s="78"/>
      <c r="B237" s="76"/>
      <c r="C237" s="76"/>
      <c r="D237" s="75"/>
      <c r="E237" s="75"/>
      <c r="F237" s="75"/>
      <c r="G237" s="75"/>
      <c r="H237" s="75"/>
      <c r="I237" s="75"/>
      <c r="J237" s="75"/>
      <c r="K237" s="79"/>
      <c r="L237" s="79"/>
    </row>
    <row r="238" spans="1:12" ht="15.75">
      <c r="A238" s="78"/>
      <c r="B238" s="76"/>
      <c r="C238" s="76"/>
      <c r="D238" s="75"/>
      <c r="E238" s="75"/>
      <c r="F238" s="75"/>
      <c r="G238" s="75"/>
      <c r="H238" s="75"/>
      <c r="I238" s="75"/>
      <c r="J238" s="75"/>
      <c r="K238" s="79"/>
      <c r="L238" s="79"/>
    </row>
    <row r="239" spans="1:12" ht="15.75">
      <c r="A239" s="78"/>
      <c r="B239" s="76"/>
      <c r="C239" s="76"/>
      <c r="D239" s="75"/>
      <c r="E239" s="75"/>
      <c r="F239" s="75"/>
      <c r="G239" s="75"/>
      <c r="H239" s="75"/>
      <c r="I239" s="75"/>
      <c r="J239" s="75"/>
      <c r="K239" s="79"/>
      <c r="L239" s="79"/>
    </row>
    <row r="240" spans="1:12" ht="15.75">
      <c r="A240" s="78"/>
      <c r="B240" s="76"/>
      <c r="C240" s="76"/>
      <c r="D240" s="75"/>
      <c r="E240" s="75"/>
      <c r="F240" s="75"/>
      <c r="G240" s="75"/>
      <c r="H240" s="75"/>
      <c r="I240" s="75"/>
      <c r="J240" s="75"/>
      <c r="K240" s="79"/>
      <c r="L240" s="79"/>
    </row>
    <row r="241" spans="1:12" ht="15.75">
      <c r="A241" s="78"/>
      <c r="B241" s="76"/>
      <c r="C241" s="76"/>
      <c r="D241" s="75"/>
      <c r="E241" s="75"/>
      <c r="F241" s="75"/>
      <c r="G241" s="75"/>
      <c r="H241" s="75"/>
      <c r="I241" s="75"/>
      <c r="J241" s="75"/>
      <c r="K241" s="79"/>
      <c r="L241" s="79"/>
    </row>
    <row r="242" spans="1:12" ht="15.75">
      <c r="A242" s="78"/>
      <c r="B242" s="76"/>
      <c r="C242" s="76"/>
      <c r="D242" s="75"/>
      <c r="E242" s="75"/>
      <c r="F242" s="75"/>
      <c r="G242" s="75"/>
      <c r="H242" s="75"/>
      <c r="I242" s="75"/>
      <c r="J242" s="75"/>
      <c r="K242" s="79"/>
      <c r="L242" s="79"/>
    </row>
    <row r="243" spans="1:12" ht="15.75">
      <c r="A243" s="78"/>
      <c r="B243" s="76"/>
      <c r="C243" s="76"/>
      <c r="D243" s="75"/>
      <c r="E243" s="75"/>
      <c r="F243" s="75"/>
      <c r="G243" s="75"/>
      <c r="H243" s="75"/>
      <c r="I243" s="75"/>
      <c r="J243" s="75"/>
      <c r="K243" s="79"/>
      <c r="L243" s="79"/>
    </row>
    <row r="244" spans="1:12" ht="15.75">
      <c r="A244" s="78"/>
      <c r="B244" s="76"/>
      <c r="C244" s="76"/>
      <c r="D244" s="75"/>
      <c r="E244" s="75"/>
      <c r="F244" s="75"/>
      <c r="G244" s="75"/>
      <c r="H244" s="75"/>
      <c r="I244" s="75"/>
      <c r="J244" s="75"/>
      <c r="K244" s="79"/>
      <c r="L244" s="79"/>
    </row>
    <row r="245" spans="1:12" ht="15.75">
      <c r="A245" s="78"/>
      <c r="B245" s="76"/>
      <c r="C245" s="76"/>
      <c r="D245" s="75"/>
      <c r="E245" s="75"/>
      <c r="F245" s="75"/>
      <c r="G245" s="75"/>
      <c r="H245" s="75"/>
      <c r="I245" s="75"/>
      <c r="J245" s="75"/>
      <c r="K245" s="79"/>
      <c r="L245" s="79"/>
    </row>
    <row r="246" spans="1:12" ht="15.75">
      <c r="A246" s="78"/>
      <c r="B246" s="76"/>
      <c r="C246" s="76"/>
      <c r="D246" s="75"/>
      <c r="E246" s="75"/>
      <c r="F246" s="75"/>
      <c r="G246" s="75"/>
      <c r="H246" s="75"/>
      <c r="I246" s="75"/>
      <c r="J246" s="75"/>
      <c r="K246" s="79"/>
      <c r="L246" s="79"/>
    </row>
    <row r="247" spans="1:12" ht="15.75">
      <c r="A247" s="78"/>
      <c r="B247" s="76"/>
      <c r="C247" s="76"/>
      <c r="D247" s="75"/>
      <c r="E247" s="75"/>
      <c r="F247" s="75"/>
      <c r="G247" s="75"/>
      <c r="H247" s="75"/>
      <c r="I247" s="75"/>
      <c r="J247" s="75"/>
      <c r="K247" s="79"/>
      <c r="L247" s="79"/>
    </row>
    <row r="248" spans="1:12" ht="15.75">
      <c r="A248" s="78"/>
      <c r="B248" s="76"/>
      <c r="C248" s="76"/>
      <c r="D248" s="75"/>
      <c r="E248" s="75"/>
      <c r="F248" s="75"/>
      <c r="G248" s="75"/>
      <c r="H248" s="75"/>
      <c r="I248" s="75"/>
      <c r="J248" s="75"/>
      <c r="K248" s="79"/>
      <c r="L248" s="79"/>
    </row>
    <row r="249" spans="1:12" ht="15.75">
      <c r="A249" s="78"/>
      <c r="B249" s="76"/>
      <c r="C249" s="76"/>
      <c r="D249" s="75"/>
      <c r="E249" s="75"/>
      <c r="F249" s="75"/>
      <c r="G249" s="75"/>
      <c r="H249" s="75"/>
      <c r="I249" s="75"/>
      <c r="J249" s="75"/>
      <c r="K249" s="79"/>
      <c r="L249" s="79"/>
    </row>
    <row r="250" spans="1:12" ht="15.75">
      <c r="A250" s="78"/>
      <c r="B250" s="76"/>
      <c r="C250" s="76"/>
      <c r="D250" s="75"/>
      <c r="E250" s="75"/>
      <c r="F250" s="75"/>
      <c r="G250" s="75"/>
      <c r="H250" s="75"/>
      <c r="I250" s="75"/>
      <c r="J250" s="75"/>
      <c r="K250" s="79"/>
      <c r="L250" s="79"/>
    </row>
    <row r="251" spans="1:12" ht="15.75">
      <c r="A251" s="78"/>
      <c r="B251" s="76"/>
      <c r="C251" s="76"/>
      <c r="D251" s="75"/>
      <c r="E251" s="75"/>
      <c r="F251" s="75"/>
      <c r="G251" s="75"/>
      <c r="H251" s="75"/>
      <c r="I251" s="75"/>
      <c r="J251" s="75"/>
      <c r="K251" s="79"/>
      <c r="L251" s="79"/>
    </row>
    <row r="252" spans="1:12" ht="15.75">
      <c r="A252" s="78"/>
      <c r="B252" s="76"/>
      <c r="C252" s="76"/>
      <c r="D252" s="75"/>
      <c r="E252" s="75"/>
      <c r="F252" s="75"/>
      <c r="G252" s="75"/>
      <c r="H252" s="75"/>
      <c r="I252" s="75"/>
      <c r="J252" s="75"/>
      <c r="K252" s="79"/>
      <c r="L252" s="79"/>
    </row>
    <row r="253" spans="1:12" ht="15.75">
      <c r="A253" s="78"/>
      <c r="B253" s="76"/>
      <c r="C253" s="76"/>
      <c r="D253" s="75"/>
      <c r="E253" s="75"/>
      <c r="F253" s="75"/>
      <c r="G253" s="75"/>
      <c r="H253" s="75"/>
      <c r="I253" s="75"/>
      <c r="J253" s="75"/>
      <c r="K253" s="79"/>
      <c r="L253" s="79"/>
    </row>
    <row r="254" spans="1:12" ht="15.75">
      <c r="A254" s="78"/>
      <c r="B254" s="76"/>
      <c r="C254" s="76"/>
      <c r="D254" s="75"/>
      <c r="E254" s="75"/>
      <c r="F254" s="75"/>
      <c r="G254" s="75"/>
      <c r="H254" s="75"/>
      <c r="I254" s="75"/>
      <c r="J254" s="75"/>
      <c r="K254" s="79"/>
      <c r="L254" s="79"/>
    </row>
    <row r="255" spans="1:12" ht="15.75">
      <c r="A255" s="78"/>
      <c r="B255" s="76"/>
      <c r="C255" s="76"/>
      <c r="D255" s="75"/>
      <c r="E255" s="75"/>
      <c r="F255" s="75"/>
      <c r="G255" s="75"/>
      <c r="H255" s="75"/>
      <c r="I255" s="75"/>
      <c r="J255" s="75"/>
      <c r="K255" s="79"/>
      <c r="L255" s="79"/>
    </row>
    <row r="256" spans="1:12" ht="15.75">
      <c r="A256" s="78"/>
      <c r="B256" s="76"/>
      <c r="C256" s="76"/>
      <c r="D256" s="75"/>
      <c r="E256" s="75"/>
      <c r="F256" s="75"/>
      <c r="G256" s="75"/>
      <c r="H256" s="75"/>
      <c r="I256" s="75"/>
      <c r="J256" s="75"/>
      <c r="K256" s="79"/>
      <c r="L256" s="79"/>
    </row>
    <row r="257" spans="1:12" ht="15.75">
      <c r="A257" s="78"/>
      <c r="B257" s="76"/>
      <c r="C257" s="76"/>
      <c r="D257" s="75"/>
      <c r="E257" s="75"/>
      <c r="F257" s="75"/>
      <c r="G257" s="75"/>
      <c r="H257" s="75"/>
      <c r="I257" s="75"/>
      <c r="J257" s="75"/>
      <c r="K257" s="79"/>
      <c r="L257" s="79"/>
    </row>
    <row r="258" spans="1:12" ht="15.75">
      <c r="A258" s="78"/>
      <c r="B258" s="76"/>
      <c r="C258" s="76"/>
      <c r="D258" s="75"/>
      <c r="E258" s="75"/>
      <c r="F258" s="75"/>
      <c r="G258" s="75"/>
      <c r="H258" s="75"/>
      <c r="I258" s="75"/>
      <c r="J258" s="75"/>
      <c r="K258" s="79"/>
      <c r="L258" s="79"/>
    </row>
    <row r="259" spans="1:12" ht="15.75">
      <c r="A259" s="78"/>
      <c r="B259" s="76"/>
      <c r="C259" s="76"/>
      <c r="D259" s="75"/>
      <c r="E259" s="75"/>
      <c r="F259" s="75"/>
      <c r="G259" s="75"/>
      <c r="H259" s="75"/>
      <c r="I259" s="75"/>
      <c r="J259" s="75"/>
      <c r="K259" s="79"/>
      <c r="L259" s="79"/>
    </row>
    <row r="260" spans="1:12" ht="15.75">
      <c r="A260" s="78"/>
      <c r="B260" s="76"/>
      <c r="C260" s="76"/>
      <c r="D260" s="75"/>
      <c r="E260" s="75"/>
      <c r="F260" s="75"/>
      <c r="G260" s="75"/>
      <c r="H260" s="75"/>
      <c r="I260" s="75"/>
      <c r="J260" s="75"/>
      <c r="K260" s="79"/>
      <c r="L260" s="79"/>
    </row>
    <row r="261" spans="1:12" ht="15.75">
      <c r="A261" s="78"/>
      <c r="B261" s="76"/>
      <c r="C261" s="76"/>
      <c r="D261" s="75"/>
      <c r="E261" s="75"/>
      <c r="F261" s="75"/>
      <c r="G261" s="75"/>
      <c r="H261" s="75"/>
      <c r="I261" s="75"/>
      <c r="J261" s="75"/>
      <c r="K261" s="79"/>
      <c r="L261" s="79"/>
    </row>
    <row r="262" spans="1:12" ht="15.75">
      <c r="A262" s="78"/>
      <c r="B262" s="76"/>
      <c r="C262" s="76"/>
      <c r="D262" s="75"/>
      <c r="E262" s="75"/>
      <c r="F262" s="75"/>
      <c r="G262" s="75"/>
      <c r="H262" s="75"/>
      <c r="I262" s="75"/>
      <c r="J262" s="75"/>
      <c r="K262" s="79"/>
      <c r="L262" s="79"/>
    </row>
    <row r="263" spans="1:12" ht="15.75">
      <c r="A263" s="78"/>
      <c r="B263" s="76"/>
      <c r="C263" s="76"/>
      <c r="D263" s="75"/>
      <c r="E263" s="75"/>
      <c r="F263" s="75"/>
      <c r="G263" s="75"/>
      <c r="H263" s="75"/>
      <c r="I263" s="75"/>
      <c r="J263" s="75"/>
      <c r="K263" s="79"/>
      <c r="L263" s="79"/>
    </row>
    <row r="264" spans="1:12" ht="15.75">
      <c r="A264" s="78"/>
      <c r="B264" s="76"/>
      <c r="C264" s="76"/>
      <c r="D264" s="75"/>
      <c r="E264" s="75"/>
      <c r="F264" s="75"/>
      <c r="G264" s="75"/>
      <c r="H264" s="75"/>
      <c r="I264" s="75"/>
      <c r="J264" s="75"/>
      <c r="K264" s="79"/>
      <c r="L264" s="79"/>
    </row>
    <row r="265" spans="1:12" ht="15.75">
      <c r="A265" s="78"/>
      <c r="B265" s="76"/>
      <c r="C265" s="76"/>
      <c r="D265" s="75"/>
      <c r="E265" s="75"/>
      <c r="F265" s="75"/>
      <c r="G265" s="75"/>
      <c r="H265" s="75"/>
      <c r="I265" s="75"/>
      <c r="J265" s="75"/>
      <c r="K265" s="79"/>
      <c r="L265" s="79"/>
    </row>
    <row r="266" spans="1:12" ht="15.75">
      <c r="A266" s="78"/>
      <c r="B266" s="76"/>
      <c r="C266" s="76"/>
      <c r="D266" s="75"/>
      <c r="E266" s="75"/>
      <c r="F266" s="75"/>
      <c r="G266" s="75"/>
      <c r="H266" s="75"/>
      <c r="I266" s="75"/>
      <c r="J266" s="75"/>
      <c r="K266" s="79"/>
      <c r="L266" s="79"/>
    </row>
    <row r="267" spans="1:12" ht="15.75">
      <c r="A267" s="78"/>
      <c r="B267" s="76"/>
      <c r="C267" s="76"/>
      <c r="D267" s="75"/>
      <c r="E267" s="75"/>
      <c r="F267" s="75"/>
      <c r="G267" s="75"/>
      <c r="H267" s="75"/>
      <c r="I267" s="75"/>
      <c r="J267" s="75"/>
      <c r="K267" s="79"/>
      <c r="L267" s="79"/>
    </row>
    <row r="268" spans="1:12" ht="15.75">
      <c r="A268" s="78"/>
      <c r="B268" s="76"/>
      <c r="C268" s="76"/>
      <c r="D268" s="75"/>
      <c r="E268" s="75"/>
      <c r="F268" s="75"/>
      <c r="G268" s="75"/>
      <c r="H268" s="75"/>
      <c r="I268" s="75"/>
      <c r="J268" s="75"/>
      <c r="K268" s="79"/>
      <c r="L268" s="79"/>
    </row>
    <row r="269" spans="1:12" ht="15.75">
      <c r="A269" s="78"/>
      <c r="B269" s="76"/>
      <c r="C269" s="76"/>
      <c r="D269" s="75"/>
      <c r="E269" s="75"/>
      <c r="F269" s="75"/>
      <c r="G269" s="75"/>
      <c r="H269" s="75"/>
      <c r="I269" s="75"/>
      <c r="J269" s="75"/>
      <c r="K269" s="79"/>
      <c r="L269" s="79"/>
    </row>
    <row r="270" spans="1:12" ht="15.75">
      <c r="A270" s="78"/>
      <c r="B270" s="76"/>
      <c r="C270" s="76"/>
      <c r="D270" s="75"/>
      <c r="E270" s="75"/>
      <c r="F270" s="75"/>
      <c r="G270" s="75"/>
      <c r="H270" s="75"/>
      <c r="I270" s="75"/>
      <c r="J270" s="75"/>
      <c r="K270" s="79"/>
      <c r="L270" s="79"/>
    </row>
    <row r="271" spans="1:12" ht="15.75">
      <c r="A271" s="78"/>
      <c r="B271" s="76"/>
      <c r="C271" s="76"/>
      <c r="D271" s="75"/>
      <c r="E271" s="75"/>
      <c r="F271" s="75"/>
      <c r="G271" s="75"/>
      <c r="H271" s="75"/>
      <c r="I271" s="75"/>
      <c r="J271" s="75"/>
      <c r="K271" s="79"/>
      <c r="L271" s="79"/>
    </row>
    <row r="272" spans="1:12" ht="15.75">
      <c r="A272" s="78"/>
      <c r="B272" s="76"/>
      <c r="C272" s="76"/>
      <c r="D272" s="75"/>
      <c r="E272" s="75"/>
      <c r="F272" s="75"/>
      <c r="G272" s="75"/>
      <c r="H272" s="75"/>
      <c r="I272" s="75"/>
      <c r="J272" s="75"/>
      <c r="K272" s="79"/>
      <c r="L272" s="79"/>
    </row>
    <row r="273" spans="1:12" ht="15.75">
      <c r="A273" s="78"/>
      <c r="B273" s="76"/>
      <c r="C273" s="76"/>
      <c r="D273" s="75"/>
      <c r="E273" s="75"/>
      <c r="F273" s="75"/>
      <c r="G273" s="75"/>
      <c r="H273" s="75"/>
      <c r="I273" s="75"/>
      <c r="J273" s="75"/>
      <c r="K273" s="79"/>
      <c r="L273" s="79"/>
    </row>
    <row r="274" spans="1:12" ht="15.75">
      <c r="A274" s="78"/>
      <c r="B274" s="76"/>
      <c r="C274" s="76"/>
      <c r="D274" s="75"/>
      <c r="E274" s="75"/>
      <c r="F274" s="75"/>
      <c r="G274" s="75"/>
      <c r="H274" s="75"/>
      <c r="I274" s="75"/>
      <c r="J274" s="75"/>
      <c r="K274" s="79"/>
      <c r="L274" s="79"/>
    </row>
    <row r="275" spans="1:12" ht="15.75">
      <c r="A275" s="78"/>
      <c r="B275" s="76"/>
      <c r="C275" s="76"/>
      <c r="D275" s="75"/>
      <c r="E275" s="75"/>
      <c r="F275" s="75"/>
      <c r="G275" s="75"/>
      <c r="H275" s="75"/>
      <c r="I275" s="75"/>
      <c r="J275" s="75"/>
      <c r="K275" s="79"/>
      <c r="L275" s="79"/>
    </row>
    <row r="276" spans="1:12" ht="15.75">
      <c r="A276" s="78"/>
      <c r="B276" s="76"/>
      <c r="C276" s="76"/>
      <c r="D276" s="75"/>
      <c r="E276" s="75"/>
      <c r="F276" s="75"/>
      <c r="G276" s="75"/>
      <c r="H276" s="75"/>
      <c r="I276" s="75"/>
      <c r="J276" s="75"/>
      <c r="K276" s="79"/>
      <c r="L276" s="79"/>
    </row>
    <row r="277" spans="1:12" ht="15.75">
      <c r="A277" s="78"/>
      <c r="B277" s="76"/>
      <c r="C277" s="76"/>
      <c r="D277" s="75"/>
      <c r="E277" s="75"/>
      <c r="F277" s="75"/>
      <c r="G277" s="75"/>
      <c r="H277" s="75"/>
      <c r="I277" s="75"/>
      <c r="J277" s="75"/>
      <c r="K277" s="79"/>
      <c r="L277" s="79"/>
    </row>
    <row r="278" spans="1:12" ht="15.75">
      <c r="A278" s="78"/>
      <c r="B278" s="76"/>
      <c r="C278" s="76"/>
      <c r="D278" s="75"/>
      <c r="E278" s="75"/>
      <c r="F278" s="75"/>
      <c r="G278" s="75"/>
      <c r="H278" s="75"/>
      <c r="I278" s="75"/>
      <c r="J278" s="75"/>
      <c r="K278" s="79"/>
      <c r="L278" s="79"/>
    </row>
    <row r="279" spans="1:12" ht="15.75">
      <c r="A279" s="78"/>
      <c r="B279" s="76"/>
      <c r="C279" s="76"/>
      <c r="D279" s="75"/>
      <c r="E279" s="75"/>
      <c r="F279" s="75"/>
      <c r="G279" s="75"/>
      <c r="H279" s="75"/>
      <c r="I279" s="75"/>
      <c r="J279" s="75"/>
      <c r="K279" s="79"/>
      <c r="L279" s="79"/>
    </row>
    <row r="280" spans="1:12" ht="15.75">
      <c r="A280" s="78"/>
      <c r="B280" s="76"/>
      <c r="C280" s="76"/>
      <c r="D280" s="75"/>
      <c r="E280" s="75"/>
      <c r="F280" s="75"/>
      <c r="G280" s="75"/>
      <c r="H280" s="75"/>
      <c r="I280" s="75"/>
      <c r="J280" s="75"/>
      <c r="K280" s="79"/>
      <c r="L280" s="79"/>
    </row>
    <row r="281" spans="1:12" ht="15.75">
      <c r="A281" s="78"/>
      <c r="B281" s="76"/>
      <c r="C281" s="76"/>
      <c r="D281" s="75"/>
      <c r="E281" s="75"/>
      <c r="F281" s="75"/>
      <c r="G281" s="75"/>
      <c r="H281" s="75"/>
      <c r="I281" s="75"/>
      <c r="J281" s="75"/>
      <c r="K281" s="79"/>
      <c r="L281" s="79"/>
    </row>
    <row r="282" spans="1:12" ht="15.75">
      <c r="A282" s="78"/>
      <c r="B282" s="76"/>
      <c r="C282" s="76"/>
      <c r="D282" s="75"/>
      <c r="E282" s="75"/>
      <c r="F282" s="75"/>
      <c r="G282" s="75"/>
      <c r="H282" s="75"/>
      <c r="I282" s="75"/>
      <c r="J282" s="75"/>
      <c r="K282" s="79"/>
      <c r="L282" s="79"/>
    </row>
    <row r="283" spans="1:12" ht="15.75">
      <c r="A283" s="78"/>
      <c r="B283" s="76"/>
      <c r="C283" s="76"/>
      <c r="D283" s="75"/>
      <c r="E283" s="75"/>
      <c r="F283" s="75"/>
      <c r="G283" s="75"/>
      <c r="H283" s="75"/>
      <c r="I283" s="75"/>
      <c r="J283" s="75"/>
      <c r="K283" s="79"/>
      <c r="L283" s="79"/>
    </row>
    <row r="284" spans="1:12" ht="15.75">
      <c r="A284" s="78"/>
      <c r="B284" s="76"/>
      <c r="C284" s="76"/>
      <c r="D284" s="75"/>
      <c r="E284" s="75"/>
      <c r="F284" s="75"/>
      <c r="G284" s="75"/>
      <c r="H284" s="75"/>
      <c r="I284" s="75"/>
      <c r="J284" s="75"/>
      <c r="K284" s="79"/>
      <c r="L284" s="79"/>
    </row>
    <row r="285" spans="1:12" ht="15.75">
      <c r="A285" s="78"/>
      <c r="B285" s="76"/>
      <c r="C285" s="76"/>
      <c r="D285" s="75"/>
      <c r="E285" s="75"/>
      <c r="F285" s="75"/>
      <c r="G285" s="75"/>
      <c r="H285" s="75"/>
      <c r="I285" s="75"/>
      <c r="J285" s="75"/>
      <c r="K285" s="79"/>
      <c r="L285" s="79"/>
    </row>
    <row r="286" spans="1:12" ht="15.75">
      <c r="A286" s="78"/>
      <c r="B286" s="76"/>
      <c r="C286" s="76"/>
      <c r="D286" s="75"/>
      <c r="E286" s="75"/>
      <c r="F286" s="75"/>
      <c r="G286" s="75"/>
      <c r="H286" s="75"/>
      <c r="I286" s="75"/>
      <c r="J286" s="75"/>
      <c r="K286" s="79"/>
      <c r="L286" s="79"/>
    </row>
    <row r="287" spans="1:12" ht="15.75">
      <c r="A287" s="78"/>
      <c r="B287" s="76"/>
      <c r="C287" s="76"/>
      <c r="D287" s="75"/>
      <c r="E287" s="75"/>
      <c r="F287" s="75"/>
      <c r="G287" s="75"/>
      <c r="H287" s="75"/>
      <c r="I287" s="75"/>
      <c r="J287" s="75"/>
      <c r="K287" s="79"/>
      <c r="L287" s="79"/>
    </row>
    <row r="288" spans="1:12" ht="15.75">
      <c r="A288" s="78"/>
      <c r="B288" s="76"/>
      <c r="C288" s="76"/>
      <c r="D288" s="75"/>
      <c r="E288" s="75"/>
      <c r="F288" s="75"/>
      <c r="G288" s="75"/>
      <c r="H288" s="75"/>
      <c r="I288" s="75"/>
      <c r="J288" s="75"/>
      <c r="K288" s="79"/>
      <c r="L288" s="79"/>
    </row>
    <row r="289" spans="1:12" ht="15.75">
      <c r="A289" s="78"/>
      <c r="B289" s="76"/>
      <c r="C289" s="76"/>
      <c r="D289" s="75"/>
      <c r="E289" s="75"/>
      <c r="F289" s="75"/>
      <c r="G289" s="75"/>
      <c r="H289" s="75"/>
      <c r="I289" s="75"/>
      <c r="J289" s="75"/>
      <c r="K289" s="79"/>
      <c r="L289" s="79"/>
    </row>
    <row r="290" spans="1:12" ht="15.75">
      <c r="A290" s="78"/>
      <c r="B290" s="76"/>
      <c r="C290" s="76"/>
      <c r="D290" s="75"/>
      <c r="E290" s="75"/>
      <c r="F290" s="75"/>
      <c r="G290" s="75"/>
      <c r="H290" s="75"/>
      <c r="I290" s="75"/>
      <c r="J290" s="75"/>
      <c r="K290" s="79"/>
      <c r="L290" s="79"/>
    </row>
    <row r="291" spans="1:12" ht="15.75">
      <c r="A291" s="78"/>
      <c r="B291" s="76"/>
      <c r="C291" s="76"/>
      <c r="D291" s="75"/>
      <c r="E291" s="75"/>
      <c r="F291" s="75"/>
      <c r="G291" s="75"/>
      <c r="H291" s="75"/>
      <c r="I291" s="75"/>
      <c r="J291" s="75"/>
      <c r="K291" s="79"/>
      <c r="L291" s="79"/>
    </row>
    <row r="292" spans="1:12" ht="15.75">
      <c r="A292" s="78"/>
      <c r="B292" s="76"/>
      <c r="C292" s="76"/>
      <c r="D292" s="75"/>
      <c r="E292" s="75"/>
      <c r="F292" s="75"/>
      <c r="G292" s="75"/>
      <c r="H292" s="75"/>
      <c r="I292" s="75"/>
      <c r="J292" s="75"/>
      <c r="K292" s="79"/>
      <c r="L292" s="79"/>
    </row>
    <row r="293" spans="1:12" ht="15.75">
      <c r="A293" s="78"/>
      <c r="B293" s="76"/>
      <c r="C293" s="76"/>
      <c r="D293" s="75"/>
      <c r="E293" s="75"/>
      <c r="F293" s="75"/>
      <c r="G293" s="75"/>
      <c r="H293" s="75"/>
      <c r="I293" s="75"/>
      <c r="J293" s="75"/>
      <c r="K293" s="79"/>
      <c r="L293" s="79"/>
    </row>
    <row r="294" spans="1:12" ht="15.75">
      <c r="A294" s="78"/>
      <c r="B294" s="76"/>
      <c r="C294" s="76"/>
      <c r="D294" s="75"/>
      <c r="E294" s="75"/>
      <c r="F294" s="75"/>
      <c r="G294" s="75"/>
      <c r="H294" s="75"/>
      <c r="I294" s="75"/>
      <c r="J294" s="75"/>
      <c r="K294" s="79"/>
      <c r="L294" s="79"/>
    </row>
    <row r="295" spans="1:12" ht="15.75">
      <c r="A295" s="78"/>
      <c r="B295" s="76"/>
      <c r="C295" s="76"/>
      <c r="D295" s="75"/>
      <c r="E295" s="75"/>
      <c r="F295" s="75"/>
      <c r="G295" s="75"/>
      <c r="H295" s="75"/>
      <c r="I295" s="75"/>
      <c r="J295" s="75"/>
      <c r="K295" s="79"/>
      <c r="L295" s="79"/>
    </row>
    <row r="296" spans="1:12" ht="15.75">
      <c r="A296" s="78"/>
      <c r="B296" s="76"/>
      <c r="C296" s="76"/>
      <c r="D296" s="75"/>
      <c r="E296" s="75"/>
      <c r="F296" s="75"/>
      <c r="G296" s="75"/>
      <c r="H296" s="75"/>
      <c r="I296" s="75"/>
      <c r="J296" s="75"/>
      <c r="K296" s="79"/>
      <c r="L296" s="79"/>
    </row>
    <row r="297" spans="1:12" ht="15.75">
      <c r="A297" s="78"/>
      <c r="B297" s="76"/>
      <c r="C297" s="76"/>
      <c r="D297" s="75"/>
      <c r="E297" s="75"/>
      <c r="F297" s="75"/>
      <c r="G297" s="75"/>
      <c r="H297" s="75"/>
      <c r="I297" s="75"/>
      <c r="J297" s="75"/>
      <c r="K297" s="79"/>
      <c r="L297" s="79"/>
    </row>
    <row r="298" spans="1:12" ht="15.75">
      <c r="A298" s="78"/>
      <c r="B298" s="76"/>
      <c r="C298" s="76"/>
      <c r="D298" s="75"/>
      <c r="E298" s="75"/>
      <c r="F298" s="75"/>
      <c r="G298" s="75"/>
      <c r="H298" s="75"/>
      <c r="I298" s="75"/>
      <c r="J298" s="75"/>
      <c r="K298" s="79"/>
      <c r="L298" s="79"/>
    </row>
    <row r="299" spans="1:12" ht="15.75">
      <c r="A299" s="78"/>
      <c r="B299" s="76"/>
      <c r="C299" s="76"/>
      <c r="D299" s="75"/>
      <c r="E299" s="75"/>
      <c r="F299" s="75"/>
      <c r="G299" s="75"/>
      <c r="H299" s="75"/>
      <c r="I299" s="75"/>
      <c r="J299" s="75"/>
      <c r="K299" s="79"/>
      <c r="L299" s="79"/>
    </row>
    <row r="300" spans="1:12" ht="15.75">
      <c r="A300" s="78"/>
      <c r="B300" s="76"/>
      <c r="C300" s="76"/>
      <c r="D300" s="75"/>
      <c r="E300" s="75"/>
      <c r="F300" s="75"/>
      <c r="G300" s="75"/>
      <c r="H300" s="75"/>
      <c r="I300" s="75"/>
      <c r="J300" s="75"/>
      <c r="K300" s="79"/>
      <c r="L300" s="79"/>
    </row>
  </sheetData>
  <mergeCells count="8">
    <mergeCell ref="K1:K2"/>
    <mergeCell ref="L1:L2"/>
    <mergeCell ref="A1:A2"/>
    <mergeCell ref="B1:B2"/>
    <mergeCell ref="C1:C2"/>
    <mergeCell ref="D1:D2"/>
    <mergeCell ref="E1:I1"/>
    <mergeCell ref="J1:J2"/>
  </mergeCells>
  <phoneticPr fontId="13"/>
  <conditionalFormatting sqref="J115:J118 J108:J112 J101:J105 J85:J89 J77:J78 J68:J72 J5 J187 J55:J64 J172:J174 J7:J10 J35:J38 J93:J99 J43 J16:J29 J176:J177 J45:J46 J66">
    <cfRule type="containsText" dxfId="187" priority="188" operator="containsText" text="danger">
      <formula>NOT(ISERROR(SEARCH("danger",J5)))</formula>
    </cfRule>
  </conditionalFormatting>
  <conditionalFormatting sqref="E5:I5 E187:I187 E12:I12 E118:I118 G117:I117 E117 E7:I10 E77:I78 E55:I64 E93:I99 E108:I112 E85:I89 E43:I43 E172:I174 E35:I38 E16:I29 E176:I177 E45:I46 E66:I66 E68:I72 E101:I105 E115:I116">
    <cfRule type="containsText" dxfId="186" priority="187" operator="containsText" text="○">
      <formula>NOT(ISERROR(SEARCH("○",E5)))</formula>
    </cfRule>
  </conditionalFormatting>
  <conditionalFormatting sqref="J8:J194">
    <cfRule type="containsText" dxfId="185" priority="186" operator="containsText" text="danger">
      <formula>NOT(ISERROR(SEARCH("danger",J8)))</formula>
    </cfRule>
  </conditionalFormatting>
  <conditionalFormatting sqref="E8:I194">
    <cfRule type="containsText" dxfId="184" priority="185" operator="containsText" text="○">
      <formula>NOT(ISERROR(SEARCH("○",E8)))</formula>
    </cfRule>
  </conditionalFormatting>
  <conditionalFormatting sqref="J12">
    <cfRule type="containsText" dxfId="183" priority="184" operator="containsText" text="danger">
      <formula>NOT(ISERROR(SEARCH("danger",J12)))</formula>
    </cfRule>
  </conditionalFormatting>
  <conditionalFormatting sqref="J90:J91">
    <cfRule type="containsText" dxfId="182" priority="183" operator="containsText" text="danger">
      <formula>NOT(ISERROR(SEARCH("danger",J90)))</formula>
    </cfRule>
  </conditionalFormatting>
  <conditionalFormatting sqref="E90:I91">
    <cfRule type="containsText" dxfId="181" priority="182" operator="containsText" text="○">
      <formula>NOT(ISERROR(SEARCH("○",E90)))</formula>
    </cfRule>
  </conditionalFormatting>
  <conditionalFormatting sqref="J129">
    <cfRule type="containsText" dxfId="180" priority="181" operator="containsText" text="danger">
      <formula>NOT(ISERROR(SEARCH("danger",J129)))</formula>
    </cfRule>
  </conditionalFormatting>
  <conditionalFormatting sqref="E129:I129">
    <cfRule type="containsText" dxfId="179" priority="180" operator="containsText" text="○">
      <formula>NOT(ISERROR(SEARCH("○",E129)))</formula>
    </cfRule>
  </conditionalFormatting>
  <conditionalFormatting sqref="J124:J128">
    <cfRule type="containsText" dxfId="178" priority="179" operator="containsText" text="danger">
      <formula>NOT(ISERROR(SEARCH("danger",J124)))</formula>
    </cfRule>
  </conditionalFormatting>
  <conditionalFormatting sqref="E124:I128">
    <cfRule type="containsText" dxfId="177" priority="178" operator="containsText" text="○">
      <formula>NOT(ISERROR(SEARCH("○",E124)))</formula>
    </cfRule>
  </conditionalFormatting>
  <conditionalFormatting sqref="J120:J123">
    <cfRule type="containsText" dxfId="176" priority="177" operator="containsText" text="danger">
      <formula>NOT(ISERROR(SEARCH("danger",J120)))</formula>
    </cfRule>
  </conditionalFormatting>
  <conditionalFormatting sqref="E120:I123">
    <cfRule type="containsText" dxfId="175" priority="176" operator="containsText" text="○">
      <formula>NOT(ISERROR(SEARCH("○",E120)))</formula>
    </cfRule>
  </conditionalFormatting>
  <conditionalFormatting sqref="J6">
    <cfRule type="containsText" dxfId="174" priority="175" operator="containsText" text="danger">
      <formula>NOT(ISERROR(SEARCH("danger",J6)))</formula>
    </cfRule>
  </conditionalFormatting>
  <conditionalFormatting sqref="E6:I6">
    <cfRule type="containsText" dxfId="173" priority="174" operator="containsText" text="○">
      <formula>NOT(ISERROR(SEARCH("○",E6)))</formula>
    </cfRule>
  </conditionalFormatting>
  <conditionalFormatting sqref="J178 J180">
    <cfRule type="containsText" dxfId="172" priority="173" operator="containsText" text="danger">
      <formula>NOT(ISERROR(SEARCH("danger",J178)))</formula>
    </cfRule>
  </conditionalFormatting>
  <conditionalFormatting sqref="E178:I178 E180:I180">
    <cfRule type="containsText" dxfId="171" priority="172" operator="containsText" text="○">
      <formula>NOT(ISERROR(SEARCH("○",E178)))</formula>
    </cfRule>
  </conditionalFormatting>
  <conditionalFormatting sqref="J13:J14">
    <cfRule type="containsText" dxfId="170" priority="171" operator="containsText" text="danger">
      <formula>NOT(ISERROR(SEARCH("danger",J13)))</formula>
    </cfRule>
  </conditionalFormatting>
  <conditionalFormatting sqref="E13:I14">
    <cfRule type="containsText" dxfId="169" priority="170" operator="containsText" text="○">
      <formula>NOT(ISERROR(SEARCH("○",E13)))</formula>
    </cfRule>
  </conditionalFormatting>
  <conditionalFormatting sqref="J73">
    <cfRule type="containsText" dxfId="168" priority="169" operator="containsText" text="danger">
      <formula>NOT(ISERROR(SEARCH("danger",J73)))</formula>
    </cfRule>
  </conditionalFormatting>
  <conditionalFormatting sqref="E73:I73">
    <cfRule type="containsText" dxfId="167" priority="168" operator="containsText" text="○">
      <formula>NOT(ISERROR(SEARCH("○",E73)))</formula>
    </cfRule>
  </conditionalFormatting>
  <conditionalFormatting sqref="J15">
    <cfRule type="containsText" dxfId="166" priority="167" operator="containsText" text="danger">
      <formula>NOT(ISERROR(SEARCH("danger",J15)))</formula>
    </cfRule>
  </conditionalFormatting>
  <conditionalFormatting sqref="E15:I15">
    <cfRule type="containsText" dxfId="165" priority="166" operator="containsText" text="○">
      <formula>NOT(ISERROR(SEARCH("○",E15)))</formula>
    </cfRule>
  </conditionalFormatting>
  <conditionalFormatting sqref="J74">
    <cfRule type="containsText" dxfId="164" priority="165" operator="containsText" text="danger">
      <formula>NOT(ISERROR(SEARCH("danger",J74)))</formula>
    </cfRule>
  </conditionalFormatting>
  <conditionalFormatting sqref="E74:I74">
    <cfRule type="containsText" dxfId="163" priority="164" operator="containsText" text="○">
      <formula>NOT(ISERROR(SEARCH("○",E74)))</formula>
    </cfRule>
  </conditionalFormatting>
  <conditionalFormatting sqref="J47">
    <cfRule type="containsText" dxfId="162" priority="163" operator="containsText" text="danger">
      <formula>NOT(ISERROR(SEARCH("danger",J47)))</formula>
    </cfRule>
  </conditionalFormatting>
  <conditionalFormatting sqref="E47:I47">
    <cfRule type="containsText" dxfId="161" priority="162" operator="containsText" text="○">
      <formula>NOT(ISERROR(SEARCH("○",E47)))</formula>
    </cfRule>
  </conditionalFormatting>
  <conditionalFormatting sqref="J50">
    <cfRule type="containsText" dxfId="160" priority="161" operator="containsText" text="danger">
      <formula>NOT(ISERROR(SEARCH("danger",J50)))</formula>
    </cfRule>
  </conditionalFormatting>
  <conditionalFormatting sqref="E50:I50">
    <cfRule type="containsText" dxfId="159" priority="160" operator="containsText" text="○">
      <formula>NOT(ISERROR(SEARCH("○",E50)))</formula>
    </cfRule>
  </conditionalFormatting>
  <conditionalFormatting sqref="J106">
    <cfRule type="containsText" dxfId="158" priority="159" operator="containsText" text="danger">
      <formula>NOT(ISERROR(SEARCH("danger",J106)))</formula>
    </cfRule>
  </conditionalFormatting>
  <conditionalFormatting sqref="F106:I106">
    <cfRule type="containsText" dxfId="157" priority="158" operator="containsText" text="○">
      <formula>NOT(ISERROR(SEARCH("○",F106)))</formula>
    </cfRule>
  </conditionalFormatting>
  <conditionalFormatting sqref="E106">
    <cfRule type="containsText" dxfId="156" priority="157" operator="containsText" text="○">
      <formula>NOT(ISERROR(SEARCH("○",E106)))</formula>
    </cfRule>
  </conditionalFormatting>
  <conditionalFormatting sqref="J48">
    <cfRule type="containsText" dxfId="155" priority="156" operator="containsText" text="danger">
      <formula>NOT(ISERROR(SEARCH("danger",J48)))</formula>
    </cfRule>
  </conditionalFormatting>
  <conditionalFormatting sqref="E48:I48">
    <cfRule type="containsText" dxfId="154" priority="155" operator="containsText" text="○">
      <formula>NOT(ISERROR(SEARCH("○",E48)))</formula>
    </cfRule>
  </conditionalFormatting>
  <conditionalFormatting sqref="F79:I79">
    <cfRule type="containsText" dxfId="153" priority="154" operator="containsText" text="○">
      <formula>NOT(ISERROR(SEARCH("○",F79)))</formula>
    </cfRule>
  </conditionalFormatting>
  <conditionalFormatting sqref="F80:I80">
    <cfRule type="containsText" dxfId="152" priority="153" operator="containsText" text="○">
      <formula>NOT(ISERROR(SEARCH("○",F80)))</formula>
    </cfRule>
  </conditionalFormatting>
  <conditionalFormatting sqref="F81:I81">
    <cfRule type="containsText" dxfId="151" priority="152" operator="containsText" text="○">
      <formula>NOT(ISERROR(SEARCH("○",F81)))</formula>
    </cfRule>
  </conditionalFormatting>
  <conditionalFormatting sqref="E82:I82 E79:E81">
    <cfRule type="containsText" dxfId="150" priority="151" operator="containsText" text="○">
      <formula>NOT(ISERROR(SEARCH("○",E79)))</formula>
    </cfRule>
  </conditionalFormatting>
  <conditionalFormatting sqref="J79">
    <cfRule type="containsText" dxfId="149" priority="150" operator="containsText" text="danger">
      <formula>NOT(ISERROR(SEARCH("danger",J79)))</formula>
    </cfRule>
  </conditionalFormatting>
  <conditionalFormatting sqref="J80">
    <cfRule type="containsText" dxfId="148" priority="149" operator="containsText" text="danger">
      <formula>NOT(ISERROR(SEARCH("danger",J80)))</formula>
    </cfRule>
  </conditionalFormatting>
  <conditionalFormatting sqref="J81">
    <cfRule type="containsText" dxfId="147" priority="148" operator="containsText" text="danger">
      <formula>NOT(ISERROR(SEARCH("danger",J81)))</formula>
    </cfRule>
  </conditionalFormatting>
  <conditionalFormatting sqref="J82">
    <cfRule type="containsText" dxfId="146" priority="147" operator="containsText" text="danger">
      <formula>NOT(ISERROR(SEARCH("danger",J82)))</formula>
    </cfRule>
  </conditionalFormatting>
  <conditionalFormatting sqref="J49">
    <cfRule type="containsText" dxfId="145" priority="146" operator="containsText" text="danger">
      <formula>NOT(ISERROR(SEARCH("danger",J49)))</formula>
    </cfRule>
  </conditionalFormatting>
  <conditionalFormatting sqref="E49:I49">
    <cfRule type="containsText" dxfId="144" priority="145" operator="containsText" text="○">
      <formula>NOT(ISERROR(SEARCH("○",E49)))</formula>
    </cfRule>
  </conditionalFormatting>
  <conditionalFormatting sqref="J39">
    <cfRule type="containsText" dxfId="143" priority="144" operator="containsText" text="danger">
      <formula>NOT(ISERROR(SEARCH("danger",J39)))</formula>
    </cfRule>
  </conditionalFormatting>
  <conditionalFormatting sqref="E39:I39">
    <cfRule type="containsText" dxfId="142" priority="143" operator="containsText" text="○">
      <formula>NOT(ISERROR(SEARCH("○",E39)))</formula>
    </cfRule>
  </conditionalFormatting>
  <conditionalFormatting sqref="E83:I83">
    <cfRule type="containsText" dxfId="141" priority="142" operator="containsText" text="○">
      <formula>NOT(ISERROR(SEARCH("○",E83)))</formula>
    </cfRule>
  </conditionalFormatting>
  <conditionalFormatting sqref="J83">
    <cfRule type="containsText" dxfId="140" priority="141" operator="containsText" text="danger">
      <formula>NOT(ISERROR(SEARCH("danger",J83)))</formula>
    </cfRule>
  </conditionalFormatting>
  <conditionalFormatting sqref="J30">
    <cfRule type="containsText" dxfId="139" priority="140" operator="containsText" text="danger">
      <formula>NOT(ISERROR(SEARCH("danger",J30)))</formula>
    </cfRule>
  </conditionalFormatting>
  <conditionalFormatting sqref="E30:I30">
    <cfRule type="containsText" dxfId="138" priority="139" operator="containsText" text="○">
      <formula>NOT(ISERROR(SEARCH("○",E30)))</formula>
    </cfRule>
  </conditionalFormatting>
  <conditionalFormatting sqref="J31">
    <cfRule type="containsText" dxfId="137" priority="138" operator="containsText" text="danger">
      <formula>NOT(ISERROR(SEARCH("danger",J31)))</formula>
    </cfRule>
  </conditionalFormatting>
  <conditionalFormatting sqref="E31:I31">
    <cfRule type="containsText" dxfId="136" priority="137" operator="containsText" text="○">
      <formula>NOT(ISERROR(SEARCH("○",E31)))</formula>
    </cfRule>
  </conditionalFormatting>
  <conditionalFormatting sqref="J32">
    <cfRule type="containsText" dxfId="135" priority="136" operator="containsText" text="danger">
      <formula>NOT(ISERROR(SEARCH("danger",J32)))</formula>
    </cfRule>
  </conditionalFormatting>
  <conditionalFormatting sqref="E32:I32">
    <cfRule type="containsText" dxfId="134" priority="135" operator="containsText" text="○">
      <formula>NOT(ISERROR(SEARCH("○",E32)))</formula>
    </cfRule>
  </conditionalFormatting>
  <conditionalFormatting sqref="J131">
    <cfRule type="containsText" dxfId="133" priority="134" operator="containsText" text="danger">
      <formula>NOT(ISERROR(SEARCH("danger",J131)))</formula>
    </cfRule>
  </conditionalFormatting>
  <conditionalFormatting sqref="E131:I131">
    <cfRule type="containsText" dxfId="132" priority="133" operator="containsText" text="○">
      <formula>NOT(ISERROR(SEARCH("○",E131)))</formula>
    </cfRule>
  </conditionalFormatting>
  <conditionalFormatting sqref="J132">
    <cfRule type="containsText" dxfId="131" priority="132" operator="containsText" text="danger">
      <formula>NOT(ISERROR(SEARCH("danger",J132)))</formula>
    </cfRule>
  </conditionalFormatting>
  <conditionalFormatting sqref="E132:I132">
    <cfRule type="containsText" dxfId="130" priority="131" operator="containsText" text="○">
      <formula>NOT(ISERROR(SEARCH("○",E132)))</formula>
    </cfRule>
  </conditionalFormatting>
  <conditionalFormatting sqref="J133">
    <cfRule type="containsText" dxfId="129" priority="130" operator="containsText" text="danger">
      <formula>NOT(ISERROR(SEARCH("danger",J133)))</formula>
    </cfRule>
  </conditionalFormatting>
  <conditionalFormatting sqref="E133:I133">
    <cfRule type="containsText" dxfId="128" priority="129" operator="containsText" text="○">
      <formula>NOT(ISERROR(SEARCH("○",E133)))</formula>
    </cfRule>
  </conditionalFormatting>
  <conditionalFormatting sqref="J134">
    <cfRule type="containsText" dxfId="127" priority="128" operator="containsText" text="danger">
      <formula>NOT(ISERROR(SEARCH("danger",J134)))</formula>
    </cfRule>
  </conditionalFormatting>
  <conditionalFormatting sqref="E134:I134">
    <cfRule type="containsText" dxfId="126" priority="127" operator="containsText" text="○">
      <formula>NOT(ISERROR(SEARCH("○",E134)))</formula>
    </cfRule>
  </conditionalFormatting>
  <conditionalFormatting sqref="J135">
    <cfRule type="containsText" dxfId="125" priority="126" operator="containsText" text="danger">
      <formula>NOT(ISERROR(SEARCH("danger",J135)))</formula>
    </cfRule>
  </conditionalFormatting>
  <conditionalFormatting sqref="E135:I135">
    <cfRule type="containsText" dxfId="124" priority="125" operator="containsText" text="○">
      <formula>NOT(ISERROR(SEARCH("○",E135)))</formula>
    </cfRule>
  </conditionalFormatting>
  <conditionalFormatting sqref="J136">
    <cfRule type="containsText" dxfId="123" priority="124" operator="containsText" text="danger">
      <formula>NOT(ISERROR(SEARCH("danger",J136)))</formula>
    </cfRule>
  </conditionalFormatting>
  <conditionalFormatting sqref="E136:I136">
    <cfRule type="containsText" dxfId="122" priority="123" operator="containsText" text="○">
      <formula>NOT(ISERROR(SEARCH("○",E136)))</formula>
    </cfRule>
  </conditionalFormatting>
  <conditionalFormatting sqref="J137">
    <cfRule type="containsText" dxfId="121" priority="122" operator="containsText" text="danger">
      <formula>NOT(ISERROR(SEARCH("danger",J137)))</formula>
    </cfRule>
  </conditionalFormatting>
  <conditionalFormatting sqref="E137:I137">
    <cfRule type="containsText" dxfId="120" priority="121" operator="containsText" text="○">
      <formula>NOT(ISERROR(SEARCH("○",E137)))</formula>
    </cfRule>
  </conditionalFormatting>
  <conditionalFormatting sqref="J138">
    <cfRule type="containsText" dxfId="119" priority="120" operator="containsText" text="danger">
      <formula>NOT(ISERROR(SEARCH("danger",J138)))</formula>
    </cfRule>
  </conditionalFormatting>
  <conditionalFormatting sqref="E138:I138">
    <cfRule type="containsText" dxfId="118" priority="119" operator="containsText" text="○">
      <formula>NOT(ISERROR(SEARCH("○",E138)))</formula>
    </cfRule>
  </conditionalFormatting>
  <conditionalFormatting sqref="J139">
    <cfRule type="containsText" dxfId="117" priority="118" operator="containsText" text="danger">
      <formula>NOT(ISERROR(SEARCH("danger",J139)))</formula>
    </cfRule>
  </conditionalFormatting>
  <conditionalFormatting sqref="E139:I139">
    <cfRule type="containsText" dxfId="116" priority="117" operator="containsText" text="○">
      <formula>NOT(ISERROR(SEARCH("○",E139)))</formula>
    </cfRule>
  </conditionalFormatting>
  <conditionalFormatting sqref="J140">
    <cfRule type="containsText" dxfId="115" priority="116" operator="containsText" text="danger">
      <formula>NOT(ISERROR(SEARCH("danger",J140)))</formula>
    </cfRule>
  </conditionalFormatting>
  <conditionalFormatting sqref="E140:I140">
    <cfRule type="containsText" dxfId="114" priority="115" operator="containsText" text="○">
      <formula>NOT(ISERROR(SEARCH("○",E140)))</formula>
    </cfRule>
  </conditionalFormatting>
  <conditionalFormatting sqref="J141">
    <cfRule type="containsText" dxfId="113" priority="114" operator="containsText" text="danger">
      <formula>NOT(ISERROR(SEARCH("danger",J141)))</formula>
    </cfRule>
  </conditionalFormatting>
  <conditionalFormatting sqref="E141:I141">
    <cfRule type="containsText" dxfId="112" priority="113" operator="containsText" text="○">
      <formula>NOT(ISERROR(SEARCH("○",E141)))</formula>
    </cfRule>
  </conditionalFormatting>
  <conditionalFormatting sqref="J142">
    <cfRule type="containsText" dxfId="111" priority="112" operator="containsText" text="danger">
      <formula>NOT(ISERROR(SEARCH("danger",J142)))</formula>
    </cfRule>
  </conditionalFormatting>
  <conditionalFormatting sqref="E142:I142">
    <cfRule type="containsText" dxfId="110" priority="111" operator="containsText" text="○">
      <formula>NOT(ISERROR(SEARCH("○",E142)))</formula>
    </cfRule>
  </conditionalFormatting>
  <conditionalFormatting sqref="J143">
    <cfRule type="containsText" dxfId="109" priority="110" operator="containsText" text="danger">
      <formula>NOT(ISERROR(SEARCH("danger",J143)))</formula>
    </cfRule>
  </conditionalFormatting>
  <conditionalFormatting sqref="E143:I143">
    <cfRule type="containsText" dxfId="108" priority="109" operator="containsText" text="○">
      <formula>NOT(ISERROR(SEARCH("○",E143)))</formula>
    </cfRule>
  </conditionalFormatting>
  <conditionalFormatting sqref="J144">
    <cfRule type="containsText" dxfId="107" priority="108" operator="containsText" text="danger">
      <formula>NOT(ISERROR(SEARCH("danger",J144)))</formula>
    </cfRule>
  </conditionalFormatting>
  <conditionalFormatting sqref="E144:I144">
    <cfRule type="containsText" dxfId="106" priority="107" operator="containsText" text="○">
      <formula>NOT(ISERROR(SEARCH("○",E144)))</formula>
    </cfRule>
  </conditionalFormatting>
  <conditionalFormatting sqref="J145">
    <cfRule type="containsText" dxfId="105" priority="106" operator="containsText" text="danger">
      <formula>NOT(ISERROR(SEARCH("danger",J145)))</formula>
    </cfRule>
  </conditionalFormatting>
  <conditionalFormatting sqref="E145:I145">
    <cfRule type="containsText" dxfId="104" priority="105" operator="containsText" text="○">
      <formula>NOT(ISERROR(SEARCH("○",E145)))</formula>
    </cfRule>
  </conditionalFormatting>
  <conditionalFormatting sqref="J146">
    <cfRule type="containsText" dxfId="103" priority="104" operator="containsText" text="danger">
      <formula>NOT(ISERROR(SEARCH("danger",J146)))</formula>
    </cfRule>
  </conditionalFormatting>
  <conditionalFormatting sqref="E146:I146">
    <cfRule type="containsText" dxfId="102" priority="103" operator="containsText" text="○">
      <formula>NOT(ISERROR(SEARCH("○",E146)))</formula>
    </cfRule>
  </conditionalFormatting>
  <conditionalFormatting sqref="J147">
    <cfRule type="containsText" dxfId="101" priority="102" operator="containsText" text="danger">
      <formula>NOT(ISERROR(SEARCH("danger",J147)))</formula>
    </cfRule>
  </conditionalFormatting>
  <conditionalFormatting sqref="E147:I147">
    <cfRule type="containsText" dxfId="100" priority="101" operator="containsText" text="○">
      <formula>NOT(ISERROR(SEARCH("○",E147)))</formula>
    </cfRule>
  </conditionalFormatting>
  <conditionalFormatting sqref="J169">
    <cfRule type="containsText" dxfId="99" priority="100" operator="containsText" text="danger">
      <formula>NOT(ISERROR(SEARCH("danger",J169)))</formula>
    </cfRule>
  </conditionalFormatting>
  <conditionalFormatting sqref="E169:I169">
    <cfRule type="containsText" dxfId="98" priority="99" operator="containsText" text="○">
      <formula>NOT(ISERROR(SEARCH("○",E169)))</formula>
    </cfRule>
  </conditionalFormatting>
  <conditionalFormatting sqref="J182:J186">
    <cfRule type="containsText" dxfId="97" priority="98" operator="containsText" text="danger">
      <formula>NOT(ISERROR(SEARCH("danger",J182)))</formula>
    </cfRule>
  </conditionalFormatting>
  <conditionalFormatting sqref="E182:I186">
    <cfRule type="containsText" dxfId="96" priority="97" operator="containsText" text="○">
      <formula>NOT(ISERROR(SEARCH("○",E182)))</formula>
    </cfRule>
  </conditionalFormatting>
  <conditionalFormatting sqref="J40">
    <cfRule type="containsText" dxfId="95" priority="96" operator="containsText" text="danger">
      <formula>NOT(ISERROR(SEARCH("danger",J40)))</formula>
    </cfRule>
  </conditionalFormatting>
  <conditionalFormatting sqref="E40:I40">
    <cfRule type="containsText" dxfId="94" priority="95" operator="containsText" text="○">
      <formula>NOT(ISERROR(SEARCH("○",E40)))</formula>
    </cfRule>
  </conditionalFormatting>
  <conditionalFormatting sqref="J75">
    <cfRule type="containsText" dxfId="93" priority="94" operator="containsText" text="danger">
      <formula>NOT(ISERROR(SEARCH("danger",J75)))</formula>
    </cfRule>
  </conditionalFormatting>
  <conditionalFormatting sqref="E75:I75">
    <cfRule type="containsText" dxfId="92" priority="93" operator="containsText" text="○">
      <formula>NOT(ISERROR(SEARCH("○",E75)))</formula>
    </cfRule>
  </conditionalFormatting>
  <conditionalFormatting sqref="J163:J168">
    <cfRule type="containsText" dxfId="91" priority="92" operator="containsText" text="danger">
      <formula>NOT(ISERROR(SEARCH("danger",J163)))</formula>
    </cfRule>
  </conditionalFormatting>
  <conditionalFormatting sqref="E163:I168">
    <cfRule type="containsText" dxfId="90" priority="91" operator="containsText" text="○">
      <formula>NOT(ISERROR(SEARCH("○",E163)))</formula>
    </cfRule>
  </conditionalFormatting>
  <conditionalFormatting sqref="J41">
    <cfRule type="containsText" dxfId="89" priority="90" operator="containsText" text="danger">
      <formula>NOT(ISERROR(SEARCH("danger",J41)))</formula>
    </cfRule>
  </conditionalFormatting>
  <conditionalFormatting sqref="E41:I41">
    <cfRule type="containsText" dxfId="88" priority="89" operator="containsText" text="○">
      <formula>NOT(ISERROR(SEARCH("○",E41)))</formula>
    </cfRule>
  </conditionalFormatting>
  <conditionalFormatting sqref="J175">
    <cfRule type="containsText" dxfId="87" priority="88" operator="containsText" text="danger">
      <formula>NOT(ISERROR(SEARCH("danger",J175)))</formula>
    </cfRule>
  </conditionalFormatting>
  <conditionalFormatting sqref="E175:I175">
    <cfRule type="containsText" dxfId="86" priority="87" operator="containsText" text="○">
      <formula>NOT(ISERROR(SEARCH("○",E175)))</formula>
    </cfRule>
  </conditionalFormatting>
  <conditionalFormatting sqref="J42">
    <cfRule type="containsText" dxfId="85" priority="86" operator="containsText" text="danger">
      <formula>NOT(ISERROR(SEARCH("danger",J42)))</formula>
    </cfRule>
  </conditionalFormatting>
  <conditionalFormatting sqref="E42:I42">
    <cfRule type="containsText" dxfId="84" priority="85" operator="containsText" text="○">
      <formula>NOT(ISERROR(SEARCH("○",E42)))</formula>
    </cfRule>
  </conditionalFormatting>
  <conditionalFormatting sqref="J179">
    <cfRule type="containsText" dxfId="83" priority="84" operator="containsText" text="danger">
      <formula>NOT(ISERROR(SEARCH("danger",J179)))</formula>
    </cfRule>
  </conditionalFormatting>
  <conditionalFormatting sqref="E179:I179">
    <cfRule type="containsText" dxfId="82" priority="83" operator="containsText" text="○">
      <formula>NOT(ISERROR(SEARCH("○",E179)))</formula>
    </cfRule>
  </conditionalFormatting>
  <conditionalFormatting sqref="J44">
    <cfRule type="containsText" dxfId="81" priority="82" operator="containsText" text="danger">
      <formula>NOT(ISERROR(SEARCH("danger",J44)))</formula>
    </cfRule>
  </conditionalFormatting>
  <conditionalFormatting sqref="E44:I44">
    <cfRule type="containsText" dxfId="80" priority="81" operator="containsText" text="○">
      <formula>NOT(ISERROR(SEARCH("○",E44)))</formula>
    </cfRule>
  </conditionalFormatting>
  <conditionalFormatting sqref="J65">
    <cfRule type="containsText" dxfId="79" priority="80" operator="containsText" text="danger">
      <formula>NOT(ISERROR(SEARCH("danger",J65)))</formula>
    </cfRule>
  </conditionalFormatting>
  <conditionalFormatting sqref="E65:I65">
    <cfRule type="containsText" dxfId="78" priority="79" operator="containsText" text="○">
      <formula>NOT(ISERROR(SEARCH("○",E65)))</formula>
    </cfRule>
  </conditionalFormatting>
  <conditionalFormatting sqref="J33">
    <cfRule type="containsText" dxfId="77" priority="78" operator="containsText" text="danger">
      <formula>NOT(ISERROR(SEARCH("danger",J33)))</formula>
    </cfRule>
  </conditionalFormatting>
  <conditionalFormatting sqref="E33:I33">
    <cfRule type="containsText" dxfId="76" priority="77" operator="containsText" text="○">
      <formula>NOT(ISERROR(SEARCH("○",E33)))</formula>
    </cfRule>
  </conditionalFormatting>
  <conditionalFormatting sqref="J34">
    <cfRule type="containsText" dxfId="75" priority="76" operator="containsText" text="danger">
      <formula>NOT(ISERROR(SEARCH("danger",J34)))</formula>
    </cfRule>
  </conditionalFormatting>
  <conditionalFormatting sqref="E34:I34">
    <cfRule type="containsText" dxfId="74" priority="75" operator="containsText" text="○">
      <formula>NOT(ISERROR(SEARCH("○",E34)))</formula>
    </cfRule>
  </conditionalFormatting>
  <conditionalFormatting sqref="J51">
    <cfRule type="containsText" dxfId="73" priority="74" operator="containsText" text="danger">
      <formula>NOT(ISERROR(SEARCH("danger",J51)))</formula>
    </cfRule>
  </conditionalFormatting>
  <conditionalFormatting sqref="E51:I51">
    <cfRule type="containsText" dxfId="72" priority="73" operator="containsText" text="○">
      <formula>NOT(ISERROR(SEARCH("○",E51)))</formula>
    </cfRule>
  </conditionalFormatting>
  <conditionalFormatting sqref="J52">
    <cfRule type="containsText" dxfId="71" priority="72" operator="containsText" text="danger">
      <formula>NOT(ISERROR(SEARCH("danger",J52)))</formula>
    </cfRule>
  </conditionalFormatting>
  <conditionalFormatting sqref="E52:I52">
    <cfRule type="containsText" dxfId="70" priority="71" operator="containsText" text="○">
      <formula>NOT(ISERROR(SEARCH("○",E52)))</formula>
    </cfRule>
  </conditionalFormatting>
  <conditionalFormatting sqref="J53">
    <cfRule type="containsText" dxfId="69" priority="70" operator="containsText" text="danger">
      <formula>NOT(ISERROR(SEARCH("danger",J53)))</formula>
    </cfRule>
  </conditionalFormatting>
  <conditionalFormatting sqref="E53:I53">
    <cfRule type="containsText" dxfId="68" priority="69" operator="containsText" text="○">
      <formula>NOT(ISERROR(SEARCH("○",E53)))</formula>
    </cfRule>
  </conditionalFormatting>
  <conditionalFormatting sqref="J54">
    <cfRule type="containsText" dxfId="67" priority="68" operator="containsText" text="danger">
      <formula>NOT(ISERROR(SEARCH("danger",J54)))</formula>
    </cfRule>
  </conditionalFormatting>
  <conditionalFormatting sqref="E54:I54">
    <cfRule type="containsText" dxfId="66" priority="67" operator="containsText" text="○">
      <formula>NOT(ISERROR(SEARCH("○",E54)))</formula>
    </cfRule>
  </conditionalFormatting>
  <conditionalFormatting sqref="J67">
    <cfRule type="containsText" dxfId="65" priority="66" operator="containsText" text="danger">
      <formula>NOT(ISERROR(SEARCH("danger",J67)))</formula>
    </cfRule>
  </conditionalFormatting>
  <conditionalFormatting sqref="E67:I67">
    <cfRule type="containsText" dxfId="64" priority="65" operator="containsText" text="○">
      <formula>NOT(ISERROR(SEARCH("○",E67)))</formula>
    </cfRule>
  </conditionalFormatting>
  <conditionalFormatting sqref="J76">
    <cfRule type="containsText" dxfId="63" priority="64" operator="containsText" text="danger">
      <formula>NOT(ISERROR(SEARCH("danger",J76)))</formula>
    </cfRule>
  </conditionalFormatting>
  <conditionalFormatting sqref="E76:I76">
    <cfRule type="containsText" dxfId="62" priority="63" operator="containsText" text="○">
      <formula>NOT(ISERROR(SEARCH("○",E76)))</formula>
    </cfRule>
  </conditionalFormatting>
  <conditionalFormatting sqref="J84">
    <cfRule type="containsText" dxfId="61" priority="62" operator="containsText" text="danger">
      <formula>NOT(ISERROR(SEARCH("danger",J84)))</formula>
    </cfRule>
  </conditionalFormatting>
  <conditionalFormatting sqref="E84:I84">
    <cfRule type="containsText" dxfId="60" priority="61" operator="containsText" text="○">
      <formula>NOT(ISERROR(SEARCH("○",E84)))</formula>
    </cfRule>
  </conditionalFormatting>
  <conditionalFormatting sqref="J92">
    <cfRule type="containsText" dxfId="59" priority="60" operator="containsText" text="danger">
      <formula>NOT(ISERROR(SEARCH("danger",J92)))</formula>
    </cfRule>
  </conditionalFormatting>
  <conditionalFormatting sqref="E92:I92">
    <cfRule type="containsText" dxfId="58" priority="59" operator="containsText" text="○">
      <formula>NOT(ISERROR(SEARCH("○",E92)))</formula>
    </cfRule>
  </conditionalFormatting>
  <conditionalFormatting sqref="J100">
    <cfRule type="containsText" dxfId="57" priority="58" operator="containsText" text="danger">
      <formula>NOT(ISERROR(SEARCH("danger",J100)))</formula>
    </cfRule>
  </conditionalFormatting>
  <conditionalFormatting sqref="E100:I100">
    <cfRule type="containsText" dxfId="56" priority="57" operator="containsText" text="○">
      <formula>NOT(ISERROR(SEARCH("○",E100)))</formula>
    </cfRule>
  </conditionalFormatting>
  <conditionalFormatting sqref="J107">
    <cfRule type="containsText" dxfId="55" priority="56" operator="containsText" text="danger">
      <formula>NOT(ISERROR(SEARCH("danger",J107)))</formula>
    </cfRule>
  </conditionalFormatting>
  <conditionalFormatting sqref="E107:I107">
    <cfRule type="containsText" dxfId="54" priority="55" operator="containsText" text="○">
      <formula>NOT(ISERROR(SEARCH("○",E107)))</formula>
    </cfRule>
  </conditionalFormatting>
  <conditionalFormatting sqref="J114">
    <cfRule type="containsText" dxfId="53" priority="54" operator="containsText" text="danger">
      <formula>NOT(ISERROR(SEARCH("danger",J114)))</formula>
    </cfRule>
  </conditionalFormatting>
  <conditionalFormatting sqref="E114:I114">
    <cfRule type="containsText" dxfId="52" priority="53" operator="containsText" text="○">
      <formula>NOT(ISERROR(SEARCH("○",E114)))</formula>
    </cfRule>
  </conditionalFormatting>
  <conditionalFormatting sqref="J113">
    <cfRule type="containsText" dxfId="51" priority="52" operator="containsText" text="danger">
      <formula>NOT(ISERROR(SEARCH("danger",J113)))</formula>
    </cfRule>
  </conditionalFormatting>
  <conditionalFormatting sqref="E113:I113">
    <cfRule type="containsText" dxfId="50" priority="51" operator="containsText" text="○">
      <formula>NOT(ISERROR(SEARCH("○",E113)))</formula>
    </cfRule>
  </conditionalFormatting>
  <conditionalFormatting sqref="J119">
    <cfRule type="containsText" dxfId="49" priority="50" operator="containsText" text="danger">
      <formula>NOT(ISERROR(SEARCH("danger",J119)))</formula>
    </cfRule>
  </conditionalFormatting>
  <conditionalFormatting sqref="E119:I119">
    <cfRule type="containsText" dxfId="48" priority="49" operator="containsText" text="○">
      <formula>NOT(ISERROR(SEARCH("○",E119)))</formula>
    </cfRule>
  </conditionalFormatting>
  <conditionalFormatting sqref="J130">
    <cfRule type="containsText" dxfId="47" priority="48" operator="containsText" text="danger">
      <formula>NOT(ISERROR(SEARCH("danger",J130)))</formula>
    </cfRule>
  </conditionalFormatting>
  <conditionalFormatting sqref="E130:I130">
    <cfRule type="containsText" dxfId="46" priority="47" operator="containsText" text="○">
      <formula>NOT(ISERROR(SEARCH("○",E130)))</formula>
    </cfRule>
  </conditionalFormatting>
  <conditionalFormatting sqref="J148">
    <cfRule type="containsText" dxfId="45" priority="46" operator="containsText" text="danger">
      <formula>NOT(ISERROR(SEARCH("danger",J148)))</formula>
    </cfRule>
  </conditionalFormatting>
  <conditionalFormatting sqref="E148:I148">
    <cfRule type="containsText" dxfId="44" priority="45" operator="containsText" text="○">
      <formula>NOT(ISERROR(SEARCH("○",E148)))</formula>
    </cfRule>
  </conditionalFormatting>
  <conditionalFormatting sqref="J149">
    <cfRule type="containsText" dxfId="43" priority="44" operator="containsText" text="danger">
      <formula>NOT(ISERROR(SEARCH("danger",J149)))</formula>
    </cfRule>
  </conditionalFormatting>
  <conditionalFormatting sqref="E149:I149">
    <cfRule type="containsText" dxfId="42" priority="43" operator="containsText" text="○">
      <formula>NOT(ISERROR(SEARCH("○",E149)))</formula>
    </cfRule>
  </conditionalFormatting>
  <conditionalFormatting sqref="J150">
    <cfRule type="containsText" dxfId="41" priority="42" operator="containsText" text="danger">
      <formula>NOT(ISERROR(SEARCH("danger",J150)))</formula>
    </cfRule>
  </conditionalFormatting>
  <conditionalFormatting sqref="E150:I150">
    <cfRule type="containsText" dxfId="40" priority="41" operator="containsText" text="○">
      <formula>NOT(ISERROR(SEARCH("○",E150)))</formula>
    </cfRule>
  </conditionalFormatting>
  <conditionalFormatting sqref="J152">
    <cfRule type="containsText" dxfId="39" priority="40" operator="containsText" text="danger">
      <formula>NOT(ISERROR(SEARCH("danger",J152)))</formula>
    </cfRule>
  </conditionalFormatting>
  <conditionalFormatting sqref="E152:I152">
    <cfRule type="containsText" dxfId="38" priority="39" operator="containsText" text="○">
      <formula>NOT(ISERROR(SEARCH("○",E152)))</formula>
    </cfRule>
  </conditionalFormatting>
  <conditionalFormatting sqref="J151">
    <cfRule type="containsText" dxfId="37" priority="38" operator="containsText" text="danger">
      <formula>NOT(ISERROR(SEARCH("danger",J151)))</formula>
    </cfRule>
  </conditionalFormatting>
  <conditionalFormatting sqref="E151:I151">
    <cfRule type="containsText" dxfId="36" priority="37" operator="containsText" text="○">
      <formula>NOT(ISERROR(SEARCH("○",E151)))</formula>
    </cfRule>
  </conditionalFormatting>
  <conditionalFormatting sqref="J153">
    <cfRule type="containsText" dxfId="35" priority="36" operator="containsText" text="danger">
      <formula>NOT(ISERROR(SEARCH("danger",J153)))</formula>
    </cfRule>
  </conditionalFormatting>
  <conditionalFormatting sqref="E153:I153">
    <cfRule type="containsText" dxfId="34" priority="35" operator="containsText" text="○">
      <formula>NOT(ISERROR(SEARCH("○",E153)))</formula>
    </cfRule>
  </conditionalFormatting>
  <conditionalFormatting sqref="J154">
    <cfRule type="containsText" dxfId="33" priority="34" operator="containsText" text="danger">
      <formula>NOT(ISERROR(SEARCH("danger",J154)))</formula>
    </cfRule>
  </conditionalFormatting>
  <conditionalFormatting sqref="E154:I154">
    <cfRule type="containsText" dxfId="32" priority="33" operator="containsText" text="○">
      <formula>NOT(ISERROR(SEARCH("○",E154)))</formula>
    </cfRule>
  </conditionalFormatting>
  <conditionalFormatting sqref="J155">
    <cfRule type="containsText" dxfId="31" priority="32" operator="containsText" text="danger">
      <formula>NOT(ISERROR(SEARCH("danger",J155)))</formula>
    </cfRule>
  </conditionalFormatting>
  <conditionalFormatting sqref="E155:I155">
    <cfRule type="containsText" dxfId="30" priority="31" operator="containsText" text="○">
      <formula>NOT(ISERROR(SEARCH("○",E155)))</formula>
    </cfRule>
  </conditionalFormatting>
  <conditionalFormatting sqref="J156">
    <cfRule type="containsText" dxfId="29" priority="30" operator="containsText" text="danger">
      <formula>NOT(ISERROR(SEARCH("danger",J156)))</formula>
    </cfRule>
  </conditionalFormatting>
  <conditionalFormatting sqref="E156:I156">
    <cfRule type="containsText" dxfId="28" priority="29" operator="containsText" text="○">
      <formula>NOT(ISERROR(SEARCH("○",E156)))</formula>
    </cfRule>
  </conditionalFormatting>
  <conditionalFormatting sqref="J157">
    <cfRule type="containsText" dxfId="27" priority="28" operator="containsText" text="danger">
      <formula>NOT(ISERROR(SEARCH("danger",J157)))</formula>
    </cfRule>
  </conditionalFormatting>
  <conditionalFormatting sqref="E157:I157">
    <cfRule type="containsText" dxfId="26" priority="27" operator="containsText" text="○">
      <formula>NOT(ISERROR(SEARCH("○",E157)))</formula>
    </cfRule>
  </conditionalFormatting>
  <conditionalFormatting sqref="J158">
    <cfRule type="containsText" dxfId="25" priority="26" operator="containsText" text="danger">
      <formula>NOT(ISERROR(SEARCH("danger",J158)))</formula>
    </cfRule>
  </conditionalFormatting>
  <conditionalFormatting sqref="E158:I158">
    <cfRule type="containsText" dxfId="24" priority="25" operator="containsText" text="○">
      <formula>NOT(ISERROR(SEARCH("○",E158)))</formula>
    </cfRule>
  </conditionalFormatting>
  <conditionalFormatting sqref="J159">
    <cfRule type="containsText" dxfId="23" priority="24" operator="containsText" text="danger">
      <formula>NOT(ISERROR(SEARCH("danger",J159)))</formula>
    </cfRule>
  </conditionalFormatting>
  <conditionalFormatting sqref="E159:I159">
    <cfRule type="containsText" dxfId="22" priority="23" operator="containsText" text="○">
      <formula>NOT(ISERROR(SEARCH("○",E159)))</formula>
    </cfRule>
  </conditionalFormatting>
  <conditionalFormatting sqref="J160">
    <cfRule type="containsText" dxfId="21" priority="22" operator="containsText" text="danger">
      <formula>NOT(ISERROR(SEARCH("danger",J160)))</formula>
    </cfRule>
  </conditionalFormatting>
  <conditionalFormatting sqref="E160:I160">
    <cfRule type="containsText" dxfId="20" priority="21" operator="containsText" text="○">
      <formula>NOT(ISERROR(SEARCH("○",E160)))</formula>
    </cfRule>
  </conditionalFormatting>
  <conditionalFormatting sqref="J161">
    <cfRule type="containsText" dxfId="19" priority="20" operator="containsText" text="danger">
      <formula>NOT(ISERROR(SEARCH("danger",J161)))</formula>
    </cfRule>
  </conditionalFormatting>
  <conditionalFormatting sqref="E161:I161">
    <cfRule type="containsText" dxfId="18" priority="19" operator="containsText" text="○">
      <formula>NOT(ISERROR(SEARCH("○",E161)))</formula>
    </cfRule>
  </conditionalFormatting>
  <conditionalFormatting sqref="J162">
    <cfRule type="containsText" dxfId="17" priority="18" operator="containsText" text="danger">
      <formula>NOT(ISERROR(SEARCH("danger",J162)))</formula>
    </cfRule>
  </conditionalFormatting>
  <conditionalFormatting sqref="E162:I162">
    <cfRule type="containsText" dxfId="16" priority="17" operator="containsText" text="○">
      <formula>NOT(ISERROR(SEARCH("○",E162)))</formula>
    </cfRule>
  </conditionalFormatting>
  <conditionalFormatting sqref="J170">
    <cfRule type="containsText" dxfId="15" priority="16" operator="containsText" text="danger">
      <formula>NOT(ISERROR(SEARCH("danger",J170)))</formula>
    </cfRule>
  </conditionalFormatting>
  <conditionalFormatting sqref="E170:I170">
    <cfRule type="containsText" dxfId="14" priority="15" operator="containsText" text="○">
      <formula>NOT(ISERROR(SEARCH("○",E170)))</formula>
    </cfRule>
  </conditionalFormatting>
  <conditionalFormatting sqref="J171">
    <cfRule type="containsText" dxfId="13" priority="14" operator="containsText" text="danger">
      <formula>NOT(ISERROR(SEARCH("danger",J171)))</formula>
    </cfRule>
  </conditionalFormatting>
  <conditionalFormatting sqref="E171:I171">
    <cfRule type="containsText" dxfId="12" priority="13" operator="containsText" text="○">
      <formula>NOT(ISERROR(SEARCH("○",E171)))</formula>
    </cfRule>
  </conditionalFormatting>
  <conditionalFormatting sqref="J181">
    <cfRule type="containsText" dxfId="11" priority="12" operator="containsText" text="danger">
      <formula>NOT(ISERROR(SEARCH("danger",J181)))</formula>
    </cfRule>
  </conditionalFormatting>
  <conditionalFormatting sqref="E181:I181">
    <cfRule type="containsText" dxfId="10" priority="11" operator="containsText" text="○">
      <formula>NOT(ISERROR(SEARCH("○",E181)))</formula>
    </cfRule>
  </conditionalFormatting>
  <conditionalFormatting sqref="J188">
    <cfRule type="containsText" dxfId="9" priority="10" operator="containsText" text="danger">
      <formula>NOT(ISERROR(SEARCH("danger",J188)))</formula>
    </cfRule>
  </conditionalFormatting>
  <conditionalFormatting sqref="E188:I188">
    <cfRule type="containsText" dxfId="8" priority="9" operator="containsText" text="○">
      <formula>NOT(ISERROR(SEARCH("○",E188)))</formula>
    </cfRule>
  </conditionalFormatting>
  <conditionalFormatting sqref="J3">
    <cfRule type="containsText" dxfId="7" priority="8" operator="containsText" text="danger">
      <formula>NOT(ISERROR(SEARCH("danger",J3)))</formula>
    </cfRule>
  </conditionalFormatting>
  <conditionalFormatting sqref="E3:I3">
    <cfRule type="containsText" dxfId="6" priority="7" operator="containsText" text="○">
      <formula>NOT(ISERROR(SEARCH("○",E3)))</formula>
    </cfRule>
  </conditionalFormatting>
  <conditionalFormatting sqref="J4">
    <cfRule type="containsText" dxfId="5" priority="6" operator="containsText" text="danger">
      <formula>NOT(ISERROR(SEARCH("danger",J4)))</formula>
    </cfRule>
  </conditionalFormatting>
  <conditionalFormatting sqref="E4:I4">
    <cfRule type="containsText" dxfId="4" priority="5" operator="containsText" text="○">
      <formula>NOT(ISERROR(SEARCH("○",E4)))</formula>
    </cfRule>
  </conditionalFormatting>
  <conditionalFormatting sqref="J195:J300">
    <cfRule type="containsText" dxfId="3" priority="4" operator="containsText" text="danger">
      <formula>NOT(ISERROR(SEARCH("danger",J195)))</formula>
    </cfRule>
  </conditionalFormatting>
  <conditionalFormatting sqref="E195:I300">
    <cfRule type="containsText" dxfId="2" priority="3" operator="containsText" text="○">
      <formula>NOT(ISERROR(SEARCH("○",E195)))</formula>
    </cfRule>
  </conditionalFormatting>
  <conditionalFormatting sqref="J195:J300">
    <cfRule type="containsText" dxfId="1" priority="2" operator="containsText" text="danger">
      <formula>NOT(ISERROR(SEARCH("danger",J195)))</formula>
    </cfRule>
  </conditionalFormatting>
  <conditionalFormatting sqref="E195:I300">
    <cfRule type="containsText" dxfId="0" priority="1" operator="containsText" text="○">
      <formula>NOT(ISERROR(SEARCH("○",E195)))</formula>
    </cfRule>
  </conditionalFormatting>
  <dataValidations count="2">
    <dataValidation type="list" allowBlank="1" showInputMessage="1" showErrorMessage="1" sqref="E3:I300" xr:uid="{8FA60CCE-5C3F-4C9C-B513-AC8335EB3457}">
      <formula1>"○"</formula1>
    </dataValidation>
    <dataValidation type="list" allowBlank="1" showInputMessage="1" showErrorMessage="1" sqref="J3:J300" xr:uid="{525159F6-CD80-4275-AB0E-0718C8F1C442}">
      <formula1>"danger"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T2"/>
  <sheetViews>
    <sheetView zoomScale="85" zoomScaleNormal="85" zoomScalePageLayoutView="85" workbookViewId="0">
      <selection activeCell="H34" sqref="H34"/>
    </sheetView>
  </sheetViews>
  <sheetFormatPr defaultColWidth="14.125" defaultRowHeight="15"/>
  <cols>
    <col min="1" max="1" width="9" customWidth="1"/>
  </cols>
  <sheetData>
    <row r="1" spans="1:98" ht="14.25" customHeight="1">
      <c r="A1" s="7" t="s">
        <v>96</v>
      </c>
      <c r="B1" s="1" t="s">
        <v>22</v>
      </c>
      <c r="C1" s="2" t="s">
        <v>23</v>
      </c>
      <c r="D1" s="1" t="s">
        <v>24</v>
      </c>
      <c r="E1" s="1" t="s">
        <v>97</v>
      </c>
      <c r="F1" s="1" t="s">
        <v>25</v>
      </c>
      <c r="G1" s="1" t="s">
        <v>26</v>
      </c>
      <c r="H1" s="7" t="s">
        <v>108</v>
      </c>
      <c r="I1" s="7" t="s">
        <v>109</v>
      </c>
      <c r="J1" s="21" t="s">
        <v>110</v>
      </c>
      <c r="K1" s="22" t="s">
        <v>111</v>
      </c>
      <c r="L1" s="6" t="s">
        <v>111</v>
      </c>
      <c r="M1" s="23" t="s">
        <v>112</v>
      </c>
      <c r="N1" s="18" t="s">
        <v>113</v>
      </c>
      <c r="O1" s="20" t="s">
        <v>113</v>
      </c>
      <c r="P1" s="6" t="s">
        <v>113</v>
      </c>
      <c r="Q1" s="2" t="s">
        <v>98</v>
      </c>
      <c r="R1" s="1" t="s">
        <v>99</v>
      </c>
      <c r="S1" s="3" t="s">
        <v>27</v>
      </c>
      <c r="T1" s="4" t="s">
        <v>27</v>
      </c>
      <c r="U1" s="18" t="s">
        <v>100</v>
      </c>
      <c r="V1" s="19" t="s">
        <v>100</v>
      </c>
      <c r="W1" s="20" t="s">
        <v>100</v>
      </c>
      <c r="X1" s="19" t="s">
        <v>100</v>
      </c>
      <c r="Y1" s="6" t="s">
        <v>100</v>
      </c>
      <c r="Z1" s="2" t="s">
        <v>28</v>
      </c>
      <c r="AA1" s="1" t="s">
        <v>29</v>
      </c>
      <c r="AB1" s="1" t="s">
        <v>101</v>
      </c>
      <c r="AC1" s="1" t="s">
        <v>30</v>
      </c>
      <c r="AD1" s="1" t="s">
        <v>31</v>
      </c>
      <c r="AE1" s="1" t="s">
        <v>32</v>
      </c>
      <c r="AF1" s="1" t="s">
        <v>33</v>
      </c>
      <c r="AG1" s="1" t="s">
        <v>34</v>
      </c>
      <c r="AH1" s="1" t="s">
        <v>35</v>
      </c>
      <c r="AI1" s="1" t="s">
        <v>36</v>
      </c>
      <c r="AJ1" s="5" t="s">
        <v>37</v>
      </c>
      <c r="AK1" s="1" t="s">
        <v>102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103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5" t="s">
        <v>51</v>
      </c>
      <c r="BA1" s="1" t="s">
        <v>52</v>
      </c>
      <c r="BB1" s="1" t="s">
        <v>53</v>
      </c>
      <c r="BC1" s="1" t="s">
        <v>104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105</v>
      </c>
      <c r="BM1" s="1" t="s">
        <v>62</v>
      </c>
      <c r="BN1" s="1" t="s">
        <v>63</v>
      </c>
      <c r="BO1" s="1" t="s">
        <v>64</v>
      </c>
      <c r="BP1" s="1" t="s">
        <v>65</v>
      </c>
      <c r="BQ1" s="1" t="s">
        <v>66</v>
      </c>
      <c r="BR1" s="1" t="s">
        <v>67</v>
      </c>
      <c r="BS1" s="1" t="s">
        <v>68</v>
      </c>
      <c r="BT1" s="1" t="s">
        <v>69</v>
      </c>
      <c r="BU1" s="1" t="s">
        <v>106</v>
      </c>
      <c r="BV1" s="1" t="s">
        <v>70</v>
      </c>
      <c r="BW1" s="1" t="s">
        <v>71</v>
      </c>
      <c r="BX1" s="1" t="s">
        <v>72</v>
      </c>
      <c r="BY1" s="1" t="s">
        <v>73</v>
      </c>
      <c r="BZ1" s="1" t="s">
        <v>74</v>
      </c>
      <c r="CA1" s="5" t="s">
        <v>75</v>
      </c>
      <c r="CB1" s="18" t="s">
        <v>114</v>
      </c>
      <c r="CC1" s="20" t="s">
        <v>114</v>
      </c>
      <c r="CD1" s="19" t="s">
        <v>114</v>
      </c>
      <c r="CE1" s="18" t="s">
        <v>76</v>
      </c>
      <c r="CF1" s="19" t="s">
        <v>76</v>
      </c>
      <c r="CG1" s="20" t="s">
        <v>76</v>
      </c>
      <c r="CH1" s="19" t="s">
        <v>76</v>
      </c>
      <c r="CI1" s="19" t="s">
        <v>76</v>
      </c>
      <c r="CJ1" s="6" t="s">
        <v>76</v>
      </c>
      <c r="CK1" s="2" t="s">
        <v>77</v>
      </c>
      <c r="CL1" s="1" t="s">
        <v>78</v>
      </c>
      <c r="CM1" s="1" t="s">
        <v>107</v>
      </c>
      <c r="CN1" s="1" t="s">
        <v>12</v>
      </c>
      <c r="CO1" s="1" t="s">
        <v>13</v>
      </c>
      <c r="CP1" s="7" t="s">
        <v>14</v>
      </c>
      <c r="CQ1" s="1" t="s">
        <v>79</v>
      </c>
      <c r="CR1" s="7" t="s">
        <v>80</v>
      </c>
      <c r="CS1" s="7" t="s">
        <v>81</v>
      </c>
      <c r="CT1" s="1" t="s">
        <v>82</v>
      </c>
    </row>
    <row r="2" spans="1:98" ht="14.25" customHeight="1">
      <c r="A2" s="8"/>
      <c r="B2" s="8"/>
      <c r="C2" s="9"/>
      <c r="D2" s="8"/>
      <c r="E2" s="8"/>
      <c r="F2" s="8"/>
      <c r="G2" s="8"/>
      <c r="H2" s="8"/>
      <c r="I2" s="8"/>
      <c r="J2" s="8"/>
      <c r="K2" s="24" t="s">
        <v>15</v>
      </c>
      <c r="L2" s="14" t="s">
        <v>16</v>
      </c>
      <c r="M2" s="25"/>
      <c r="N2" s="24" t="s">
        <v>17</v>
      </c>
      <c r="O2" s="16" t="s">
        <v>18</v>
      </c>
      <c r="P2" s="14" t="s">
        <v>16</v>
      </c>
      <c r="Q2" s="8"/>
      <c r="R2" s="8"/>
      <c r="S2" s="10" t="s">
        <v>83</v>
      </c>
      <c r="T2" s="11" t="s">
        <v>84</v>
      </c>
      <c r="U2" s="12" t="s">
        <v>85</v>
      </c>
      <c r="V2" s="12" t="s">
        <v>86</v>
      </c>
      <c r="W2" s="12" t="s">
        <v>87</v>
      </c>
      <c r="X2" s="12" t="s">
        <v>88</v>
      </c>
      <c r="Y2" s="13" t="s">
        <v>89</v>
      </c>
      <c r="Z2" s="8"/>
      <c r="AA2" s="8"/>
      <c r="AB2" s="8"/>
      <c r="AC2" s="8"/>
      <c r="AD2" s="8"/>
      <c r="AE2" s="8"/>
      <c r="AF2" s="8"/>
      <c r="AG2" s="8"/>
      <c r="AH2" s="8"/>
      <c r="AI2" s="8"/>
      <c r="AJ2" s="15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15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24" t="s">
        <v>19</v>
      </c>
      <c r="CC2" s="16" t="s">
        <v>20</v>
      </c>
      <c r="CD2" s="16" t="s">
        <v>21</v>
      </c>
      <c r="CE2" s="16" t="s">
        <v>90</v>
      </c>
      <c r="CF2" s="16" t="s">
        <v>91</v>
      </c>
      <c r="CG2" s="16" t="s">
        <v>92</v>
      </c>
      <c r="CH2" s="16" t="s">
        <v>93</v>
      </c>
      <c r="CI2" s="16" t="s">
        <v>94</v>
      </c>
      <c r="CJ2" s="14" t="s">
        <v>95</v>
      </c>
      <c r="CK2" s="8"/>
      <c r="CL2" s="8"/>
      <c r="CM2" s="8"/>
      <c r="CN2" s="8"/>
      <c r="CO2" s="8"/>
      <c r="CP2" s="8"/>
      <c r="CQ2" s="8"/>
      <c r="CR2" s="8"/>
      <c r="CS2" s="8"/>
      <c r="CT2" s="8"/>
    </row>
  </sheetData>
  <phoneticPr fontId="13"/>
  <pageMargins left="0.74791666666666667" right="0.74791666666666667" top="0.98402777777777772" bottom="0.98402777777777772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25B5A-0718-4D48-8D47-91735C6D5C2F}">
  <sheetPr codeName="Sheet9"/>
  <dimension ref="B3:G11"/>
  <sheetViews>
    <sheetView workbookViewId="0"/>
  </sheetViews>
  <sheetFormatPr defaultRowHeight="13.5"/>
  <cols>
    <col min="1" max="1" width="9" style="84"/>
    <col min="2" max="2" width="15.5" style="84" customWidth="1"/>
    <col min="3" max="3" width="28.125" style="84" customWidth="1"/>
    <col min="4" max="4" width="10.625" style="84" customWidth="1"/>
    <col min="5" max="5" width="6.625" style="84" customWidth="1"/>
    <col min="6" max="6" width="7.875" style="84" customWidth="1"/>
    <col min="7" max="7" width="38.125" style="84" customWidth="1"/>
    <col min="8" max="16384" width="9" style="84"/>
  </cols>
  <sheetData>
    <row r="3" spans="2:7">
      <c r="B3" s="81" t="s">
        <v>190</v>
      </c>
      <c r="C3" s="81" t="s">
        <v>191</v>
      </c>
      <c r="D3" s="82" t="s">
        <v>192</v>
      </c>
      <c r="E3" s="82" t="s">
        <v>193</v>
      </c>
      <c r="F3" s="81" t="s">
        <v>194</v>
      </c>
      <c r="G3" s="83" t="s">
        <v>195</v>
      </c>
    </row>
    <row r="4" spans="2:7">
      <c r="B4" s="118" t="s">
        <v>212</v>
      </c>
      <c r="C4" s="85" t="s">
        <v>196</v>
      </c>
      <c r="D4" s="86" t="s">
        <v>197</v>
      </c>
      <c r="E4" s="86">
        <v>2</v>
      </c>
      <c r="F4" s="87" t="s">
        <v>198</v>
      </c>
      <c r="G4" s="87"/>
    </row>
    <row r="5" spans="2:7">
      <c r="B5" s="119"/>
      <c r="C5" s="85" t="s">
        <v>199</v>
      </c>
      <c r="D5" s="86" t="s">
        <v>200</v>
      </c>
      <c r="E5" s="86">
        <v>2</v>
      </c>
      <c r="F5" s="87"/>
      <c r="G5" s="85" t="s">
        <v>214</v>
      </c>
    </row>
    <row r="6" spans="2:7">
      <c r="B6" s="120" t="s">
        <v>215</v>
      </c>
      <c r="C6" s="85" t="s">
        <v>201</v>
      </c>
      <c r="D6" s="86" t="s">
        <v>202</v>
      </c>
      <c r="E6" s="86">
        <v>1</v>
      </c>
      <c r="F6" s="87" t="s">
        <v>203</v>
      </c>
      <c r="G6" s="86"/>
    </row>
    <row r="7" spans="2:7">
      <c r="B7" s="120"/>
      <c r="C7" s="85" t="s">
        <v>204</v>
      </c>
      <c r="D7" s="86" t="s">
        <v>202</v>
      </c>
      <c r="E7" s="86">
        <v>1</v>
      </c>
      <c r="F7" s="87"/>
      <c r="G7" s="87" t="s">
        <v>205</v>
      </c>
    </row>
    <row r="8" spans="2:7">
      <c r="B8" s="119"/>
      <c r="C8" s="85" t="s">
        <v>206</v>
      </c>
      <c r="D8" s="86" t="s">
        <v>200</v>
      </c>
      <c r="E8" s="86">
        <v>2</v>
      </c>
      <c r="F8" s="87"/>
      <c r="G8" s="86"/>
    </row>
    <row r="9" spans="2:7">
      <c r="B9" s="88" t="s">
        <v>207</v>
      </c>
      <c r="C9" s="89" t="s">
        <v>207</v>
      </c>
      <c r="D9" s="90"/>
      <c r="E9" s="90"/>
      <c r="F9" s="91"/>
      <c r="G9" s="92"/>
    </row>
    <row r="10" spans="2:7">
      <c r="B10" s="118" t="s">
        <v>213</v>
      </c>
      <c r="C10" s="93" t="s">
        <v>208</v>
      </c>
      <c r="D10" s="86" t="s">
        <v>200</v>
      </c>
      <c r="E10" s="94">
        <v>2</v>
      </c>
      <c r="F10" s="93" t="s">
        <v>209</v>
      </c>
      <c r="G10" s="87" t="s">
        <v>217</v>
      </c>
    </row>
    <row r="11" spans="2:7">
      <c r="B11" s="119"/>
      <c r="C11" s="93" t="s">
        <v>210</v>
      </c>
      <c r="D11" s="85" t="s">
        <v>200</v>
      </c>
      <c r="E11" s="95">
        <v>2</v>
      </c>
      <c r="F11" s="95" t="s">
        <v>211</v>
      </c>
      <c r="G11" s="87"/>
    </row>
  </sheetData>
  <mergeCells count="3">
    <mergeCell ref="B10:B11"/>
    <mergeCell ref="B6:B8"/>
    <mergeCell ref="B4:B5"/>
  </mergeCells>
  <phoneticPr fontId="1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G41"/>
  <sheetViews>
    <sheetView zoomScaleNormal="100" zoomScalePageLayoutView="130" workbookViewId="0"/>
  </sheetViews>
  <sheetFormatPr defaultColWidth="8.875" defaultRowHeight="15"/>
  <cols>
    <col min="1" max="1" width="9" customWidth="1"/>
    <col min="2" max="2" width="16.125" customWidth="1"/>
    <col min="3" max="3" width="18.5" bestFit="1" customWidth="1"/>
    <col min="4" max="4" width="43.875" customWidth="1"/>
    <col min="5" max="5" width="6.5" bestFit="1" customWidth="1"/>
  </cols>
  <sheetData>
    <row r="1" spans="1:7" s="36" customFormat="1" ht="13.5">
      <c r="A1" s="36" t="s">
        <v>0</v>
      </c>
      <c r="B1" s="35"/>
      <c r="C1" s="35"/>
      <c r="D1" s="35"/>
      <c r="E1" s="35"/>
      <c r="F1" s="35"/>
      <c r="G1" s="35"/>
    </row>
    <row r="2" spans="1:7" s="36" customFormat="1" ht="13.5">
      <c r="A2" s="36" t="s">
        <v>0</v>
      </c>
      <c r="C2" s="37"/>
    </row>
    <row r="3" spans="1:7" s="36" customFormat="1" ht="13.5">
      <c r="A3" s="36" t="s">
        <v>0</v>
      </c>
      <c r="B3" s="36" t="s">
        <v>9</v>
      </c>
      <c r="C3" s="37"/>
    </row>
    <row r="4" spans="1:7" s="36" customFormat="1" ht="13.5">
      <c r="A4" s="36" t="s">
        <v>6</v>
      </c>
      <c r="B4" s="38" t="s">
        <v>2</v>
      </c>
      <c r="C4" s="39" t="s">
        <v>3</v>
      </c>
      <c r="D4" s="33" t="s">
        <v>8</v>
      </c>
    </row>
    <row r="5" spans="1:7" s="36" customFormat="1" ht="13.5">
      <c r="A5" s="36" t="s">
        <v>0</v>
      </c>
      <c r="B5" s="40" t="s">
        <v>4</v>
      </c>
      <c r="C5" s="41" t="s">
        <v>5</v>
      </c>
      <c r="D5" s="42" t="s">
        <v>7</v>
      </c>
    </row>
    <row r="6" spans="1:7" s="36" customFormat="1" ht="13.5">
      <c r="A6" s="36" t="s">
        <v>0</v>
      </c>
      <c r="C6" s="37"/>
    </row>
    <row r="7" spans="1:7" s="36" customFormat="1" ht="13.5">
      <c r="A7" s="43" t="s">
        <v>0</v>
      </c>
      <c r="C7" s="37"/>
    </row>
    <row r="8" spans="1:7" s="36" customFormat="1" ht="13.5"/>
    <row r="9" spans="1:7" s="36" customFormat="1" ht="13.5">
      <c r="A9" s="36" t="s">
        <v>1</v>
      </c>
      <c r="B9" s="27" t="s">
        <v>146</v>
      </c>
      <c r="C9" s="28" t="s">
        <v>147</v>
      </c>
      <c r="D9" s="33" t="s">
        <v>154</v>
      </c>
    </row>
    <row r="10" spans="1:7" s="36" customFormat="1" ht="13.5">
      <c r="B10" s="40" t="s">
        <v>148</v>
      </c>
      <c r="C10" s="42" t="s">
        <v>149</v>
      </c>
      <c r="D10" s="42"/>
    </row>
    <row r="11" spans="1:7" s="36" customFormat="1" ht="13.5"/>
    <row r="12" spans="1:7" s="36" customFormat="1" ht="13.5">
      <c r="A12" s="36" t="s">
        <v>1</v>
      </c>
      <c r="B12" s="27" t="s">
        <v>132</v>
      </c>
      <c r="C12" s="26" t="s">
        <v>142</v>
      </c>
      <c r="D12" s="33" t="s">
        <v>127</v>
      </c>
    </row>
    <row r="13" spans="1:7" s="36" customFormat="1" ht="13.5">
      <c r="B13" s="34">
        <v>0</v>
      </c>
      <c r="C13" s="34" t="s">
        <v>119</v>
      </c>
      <c r="D13" s="34" t="s">
        <v>155</v>
      </c>
    </row>
    <row r="14" spans="1:7" s="36" customFormat="1" ht="13.5">
      <c r="B14" s="34">
        <v>1</v>
      </c>
      <c r="C14" s="34" t="s">
        <v>120</v>
      </c>
      <c r="D14" s="34" t="s">
        <v>156</v>
      </c>
    </row>
    <row r="15" spans="1:7" s="36" customFormat="1" ht="13.5">
      <c r="B15" s="34">
        <v>2</v>
      </c>
      <c r="C15" s="34" t="s">
        <v>122</v>
      </c>
      <c r="D15" s="34" t="s">
        <v>157</v>
      </c>
    </row>
    <row r="16" spans="1:7" s="36" customFormat="1" ht="13.5">
      <c r="B16" s="34">
        <v>3</v>
      </c>
      <c r="C16" s="34" t="s">
        <v>123</v>
      </c>
      <c r="D16" s="34" t="s">
        <v>143</v>
      </c>
    </row>
    <row r="17" spans="1:4" s="36" customFormat="1" ht="13.5">
      <c r="B17" s="34">
        <v>4</v>
      </c>
      <c r="C17" s="34" t="s">
        <v>121</v>
      </c>
      <c r="D17" s="34" t="s">
        <v>144</v>
      </c>
    </row>
    <row r="18" spans="1:4" s="36" customFormat="1" ht="13.5">
      <c r="B18" s="34">
        <v>5</v>
      </c>
      <c r="C18" s="34" t="s">
        <v>124</v>
      </c>
      <c r="D18" s="34" t="s">
        <v>145</v>
      </c>
    </row>
    <row r="19" spans="1:4" s="36" customFormat="1" ht="13.5">
      <c r="B19" s="34">
        <v>6</v>
      </c>
      <c r="C19" s="34" t="s">
        <v>125</v>
      </c>
      <c r="D19" s="34" t="s">
        <v>131</v>
      </c>
    </row>
    <row r="20" spans="1:4" s="36" customFormat="1" ht="13.5">
      <c r="B20" s="34">
        <v>7</v>
      </c>
      <c r="C20" s="34" t="s">
        <v>126</v>
      </c>
      <c r="D20" s="34" t="s">
        <v>130</v>
      </c>
    </row>
    <row r="21" spans="1:4" s="36" customFormat="1" ht="13.5">
      <c r="B21" s="46">
        <v>8</v>
      </c>
      <c r="C21" s="46" t="s">
        <v>161</v>
      </c>
      <c r="D21" s="46" t="s">
        <v>162</v>
      </c>
    </row>
    <row r="22" spans="1:4" s="36" customFormat="1" ht="13.5"/>
    <row r="23" spans="1:4" s="36" customFormat="1" ht="13.5">
      <c r="A23" s="36" t="s">
        <v>1</v>
      </c>
      <c r="B23" s="29" t="s">
        <v>133</v>
      </c>
      <c r="C23" s="31" t="s">
        <v>134</v>
      </c>
      <c r="D23" s="44" t="s">
        <v>135</v>
      </c>
    </row>
    <row r="24" spans="1:4" s="36" customFormat="1" ht="13.5">
      <c r="B24" s="30">
        <v>0</v>
      </c>
      <c r="C24" s="32" t="s">
        <v>137</v>
      </c>
      <c r="D24" s="45" t="s">
        <v>150</v>
      </c>
    </row>
    <row r="25" spans="1:4" s="36" customFormat="1" ht="13.5">
      <c r="B25" s="30">
        <v>1</v>
      </c>
      <c r="C25" s="32" t="s">
        <v>136</v>
      </c>
      <c r="D25" s="45" t="s">
        <v>151</v>
      </c>
    </row>
    <row r="26" spans="1:4" s="36" customFormat="1" ht="13.5">
      <c r="B26" s="30">
        <v>2</v>
      </c>
      <c r="C26" s="32" t="s">
        <v>138</v>
      </c>
      <c r="D26" s="45" t="s">
        <v>128</v>
      </c>
    </row>
    <row r="27" spans="1:4" s="36" customFormat="1" ht="13.5">
      <c r="B27" s="30">
        <v>3</v>
      </c>
      <c r="C27" s="32" t="s">
        <v>139</v>
      </c>
      <c r="D27" s="45" t="s">
        <v>129</v>
      </c>
    </row>
    <row r="28" spans="1:4" s="36" customFormat="1" ht="13.5">
      <c r="B28" s="30">
        <v>4</v>
      </c>
      <c r="C28" s="32" t="s">
        <v>140</v>
      </c>
      <c r="D28" s="45" t="s">
        <v>152</v>
      </c>
    </row>
    <row r="29" spans="1:4" s="36" customFormat="1" ht="13.5">
      <c r="B29" s="30">
        <v>5</v>
      </c>
      <c r="C29" s="32" t="s">
        <v>141</v>
      </c>
      <c r="D29" s="45" t="s">
        <v>153</v>
      </c>
    </row>
    <row r="30" spans="1:4" s="36" customFormat="1" ht="13.5"/>
    <row r="31" spans="1:4">
      <c r="A31" s="36" t="s">
        <v>1</v>
      </c>
      <c r="B31" s="29" t="s">
        <v>181</v>
      </c>
      <c r="C31" s="31" t="s">
        <v>216</v>
      </c>
      <c r="D31" s="44"/>
    </row>
    <row r="32" spans="1:4">
      <c r="A32" s="36"/>
      <c r="B32" s="30">
        <v>0</v>
      </c>
      <c r="C32" s="32" t="s">
        <v>149</v>
      </c>
      <c r="D32" s="45"/>
    </row>
    <row r="33" spans="1:4">
      <c r="A33" s="36"/>
      <c r="B33" s="30">
        <v>1</v>
      </c>
      <c r="C33" s="32" t="s">
        <v>182</v>
      </c>
      <c r="D33" s="45"/>
    </row>
    <row r="34" spans="1:4">
      <c r="A34" s="36"/>
      <c r="B34" s="30">
        <v>2</v>
      </c>
      <c r="C34" s="32" t="s">
        <v>183</v>
      </c>
      <c r="D34" s="45"/>
    </row>
    <row r="35" spans="1:4">
      <c r="A35" s="36"/>
      <c r="B35" s="30">
        <v>3</v>
      </c>
      <c r="C35" s="32" t="s">
        <v>184</v>
      </c>
      <c r="D35" s="45"/>
    </row>
    <row r="36" spans="1:4">
      <c r="A36" s="36"/>
      <c r="B36" s="30">
        <v>4</v>
      </c>
      <c r="C36" s="32" t="s">
        <v>185</v>
      </c>
      <c r="D36" s="45"/>
    </row>
    <row r="37" spans="1:4">
      <c r="A37" s="36"/>
      <c r="B37" s="30">
        <v>5</v>
      </c>
      <c r="C37" s="32" t="s">
        <v>186</v>
      </c>
      <c r="D37" s="45"/>
    </row>
    <row r="38" spans="1:4">
      <c r="B38" s="30">
        <v>6</v>
      </c>
      <c r="C38" s="32" t="s">
        <v>187</v>
      </c>
      <c r="D38" s="45"/>
    </row>
    <row r="39" spans="1:4">
      <c r="B39" s="30">
        <v>7</v>
      </c>
      <c r="C39" s="32" t="s">
        <v>188</v>
      </c>
      <c r="D39" s="45"/>
    </row>
    <row r="40" spans="1:4">
      <c r="B40" s="30">
        <v>8</v>
      </c>
      <c r="C40" s="32" t="s">
        <v>163</v>
      </c>
      <c r="D40" s="45"/>
    </row>
    <row r="41" spans="1:4">
      <c r="B41" s="30">
        <v>9</v>
      </c>
      <c r="C41" s="32" t="s">
        <v>189</v>
      </c>
      <c r="D41" s="45"/>
    </row>
  </sheetData>
  <phoneticPr fontId="13"/>
  <pageMargins left="0.70866141732283472" right="0.70866141732283472" top="0.74803149606299213" bottom="0.74803149606299213" header="0.31496062992125984" footer="0.31496062992125984"/>
  <pageSetup paperSize="0" orientation="portrait" horizontalDpi="0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6F10-47DE-46D4-88D6-9246685E74B5}">
  <sheetPr codeName="Sheet7"/>
  <dimension ref="A1:V1000"/>
  <sheetViews>
    <sheetView zoomScale="85" zoomScaleNormal="85" workbookViewId="0"/>
  </sheetViews>
  <sheetFormatPr defaultColWidth="8.875" defaultRowHeight="14.25" outlineLevelCol="1"/>
  <cols>
    <col min="1" max="1" width="10.5" style="64" customWidth="1"/>
    <col min="2" max="2" width="50.875" style="47" bestFit="1" customWidth="1"/>
    <col min="3" max="3" width="6.875" style="47" customWidth="1"/>
    <col min="4" max="4" width="9.5" style="48" bestFit="1" customWidth="1"/>
    <col min="5" max="5" width="7.5" style="47" customWidth="1"/>
    <col min="6" max="6" width="9.5" style="48" customWidth="1" outlineLevel="1"/>
    <col min="7" max="7" width="10.75" style="47" customWidth="1" outlineLevel="1"/>
    <col min="8" max="8" width="9.5" style="47" customWidth="1" outlineLevel="1"/>
    <col min="9" max="9" width="10.75" style="47" customWidth="1" outlineLevel="1"/>
    <col min="10" max="10" width="9.5" style="47" customWidth="1" outlineLevel="1"/>
    <col min="11" max="11" width="10.75" style="47" customWidth="1" outlineLevel="1"/>
    <col min="12" max="12" width="9.5" style="47" customWidth="1" outlineLevel="1"/>
    <col min="13" max="13" width="10.75" style="47" customWidth="1" outlineLevel="1"/>
    <col min="14" max="14" width="9.5" style="47" customWidth="1" outlineLevel="1"/>
    <col min="15" max="15" width="10.75" style="47" customWidth="1" outlineLevel="1"/>
    <col min="16" max="16" width="9.5" style="47" customWidth="1" outlineLevel="1"/>
    <col min="17" max="17" width="10.75" style="47" customWidth="1" outlineLevel="1"/>
    <col min="18" max="18" width="8.5" style="47" customWidth="1" outlineLevel="1"/>
    <col min="19" max="19" width="10.5" style="47" customWidth="1" outlineLevel="1"/>
    <col min="20" max="20" width="45.875" style="98" customWidth="1"/>
    <col min="21" max="21" width="41.875" style="98" customWidth="1"/>
    <col min="22" max="22" width="8.5" style="66" customWidth="1"/>
    <col min="23" max="16384" width="8.875" style="66"/>
  </cols>
  <sheetData>
    <row r="1" spans="1:22" s="47" customFormat="1" ht="19.5" customHeight="1">
      <c r="A1" s="106" t="s">
        <v>226</v>
      </c>
      <c r="B1" s="112" t="s">
        <v>11</v>
      </c>
      <c r="C1" s="111" t="s">
        <v>180</v>
      </c>
      <c r="D1" s="115" t="s">
        <v>158</v>
      </c>
      <c r="E1" s="116" t="s">
        <v>159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1" t="s">
        <v>164</v>
      </c>
      <c r="S1" s="111" t="s">
        <v>227</v>
      </c>
      <c r="T1" s="108" t="s">
        <v>10</v>
      </c>
      <c r="U1" s="108" t="s">
        <v>160</v>
      </c>
      <c r="V1" s="71"/>
    </row>
    <row r="2" spans="1:22" s="47" customFormat="1" ht="15.75" customHeight="1">
      <c r="A2" s="80" t="s">
        <v>225</v>
      </c>
      <c r="B2" s="113"/>
      <c r="C2" s="111"/>
      <c r="D2" s="115"/>
      <c r="E2" s="109" t="s">
        <v>224</v>
      </c>
      <c r="F2" s="110" t="s">
        <v>116</v>
      </c>
      <c r="G2" s="110"/>
      <c r="H2" s="110" t="s">
        <v>117</v>
      </c>
      <c r="I2" s="110"/>
      <c r="J2" s="110" t="s">
        <v>174</v>
      </c>
      <c r="K2" s="110"/>
      <c r="L2" s="110" t="s">
        <v>175</v>
      </c>
      <c r="M2" s="110"/>
      <c r="N2" s="110" t="s">
        <v>176</v>
      </c>
      <c r="O2" s="110"/>
      <c r="P2" s="110" t="s">
        <v>177</v>
      </c>
      <c r="Q2" s="110"/>
      <c r="R2" s="111"/>
      <c r="S2" s="111"/>
      <c r="T2" s="108"/>
      <c r="U2" s="108"/>
      <c r="V2" s="71"/>
    </row>
    <row r="3" spans="1:22" s="62" customFormat="1" ht="14.25" customHeight="1">
      <c r="A3" s="107" t="s">
        <v>115</v>
      </c>
      <c r="B3" s="114"/>
      <c r="C3" s="111"/>
      <c r="D3" s="115"/>
      <c r="E3" s="109"/>
      <c r="F3" s="74" t="s">
        <v>118</v>
      </c>
      <c r="G3" s="74" t="s">
        <v>10</v>
      </c>
      <c r="H3" s="74" t="s">
        <v>118</v>
      </c>
      <c r="I3" s="74" t="s">
        <v>10</v>
      </c>
      <c r="J3" s="74" t="s">
        <v>118</v>
      </c>
      <c r="K3" s="74" t="s">
        <v>10</v>
      </c>
      <c r="L3" s="74" t="s">
        <v>118</v>
      </c>
      <c r="M3" s="74" t="s">
        <v>10</v>
      </c>
      <c r="N3" s="74" t="s">
        <v>118</v>
      </c>
      <c r="O3" s="74" t="s">
        <v>10</v>
      </c>
      <c r="P3" s="74" t="s">
        <v>118</v>
      </c>
      <c r="Q3" s="74" t="s">
        <v>10</v>
      </c>
      <c r="R3" s="111"/>
      <c r="S3" s="111"/>
      <c r="T3" s="108"/>
      <c r="U3" s="108"/>
      <c r="V3" s="72"/>
    </row>
    <row r="4" spans="1:22">
      <c r="A4" s="63"/>
      <c r="B4" s="70"/>
      <c r="C4" s="75"/>
      <c r="D4" s="75"/>
      <c r="E4" s="75"/>
      <c r="F4" s="75"/>
      <c r="G4" s="80"/>
      <c r="H4" s="75"/>
      <c r="I4" s="80"/>
      <c r="J4" s="75"/>
      <c r="K4" s="80"/>
      <c r="L4" s="75"/>
      <c r="M4" s="80"/>
      <c r="N4" s="75"/>
      <c r="O4" s="80"/>
      <c r="P4" s="75"/>
      <c r="Q4" s="80"/>
      <c r="R4" s="75"/>
      <c r="S4" s="75" t="s">
        <v>173</v>
      </c>
      <c r="T4" s="96"/>
      <c r="U4" s="97"/>
      <c r="V4" s="73"/>
    </row>
    <row r="5" spans="1:22">
      <c r="A5" s="63"/>
      <c r="B5" s="7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121"/>
      <c r="U5" s="122"/>
      <c r="V5" s="73"/>
    </row>
    <row r="6" spans="1:22">
      <c r="A6" s="63"/>
      <c r="B6" s="7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121"/>
      <c r="U6" s="122"/>
      <c r="V6" s="73"/>
    </row>
    <row r="7" spans="1:22">
      <c r="A7" s="63"/>
      <c r="B7" s="7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121"/>
      <c r="U7" s="122"/>
      <c r="V7" s="73"/>
    </row>
    <row r="8" spans="1:22">
      <c r="A8" s="63"/>
      <c r="B8" s="7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121"/>
      <c r="U8" s="122"/>
      <c r="V8" s="73"/>
    </row>
    <row r="9" spans="1:22">
      <c r="A9" s="63"/>
      <c r="B9" s="7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121"/>
      <c r="U9" s="122"/>
      <c r="V9" s="73"/>
    </row>
    <row r="10" spans="1:22">
      <c r="A10" s="63"/>
      <c r="B10" s="7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121"/>
      <c r="U10" s="122"/>
      <c r="V10" s="73"/>
    </row>
    <row r="11" spans="1:22">
      <c r="A11" s="63"/>
      <c r="B11" s="7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121"/>
      <c r="U11" s="122"/>
      <c r="V11" s="73"/>
    </row>
    <row r="12" spans="1:22">
      <c r="A12" s="63"/>
      <c r="B12" s="7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121"/>
      <c r="U12" s="122"/>
      <c r="V12" s="73"/>
    </row>
    <row r="13" spans="1:22">
      <c r="A13" s="63"/>
      <c r="B13" s="7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121"/>
      <c r="U13" s="122"/>
      <c r="V13" s="73"/>
    </row>
    <row r="14" spans="1:22">
      <c r="A14" s="63"/>
      <c r="B14" s="7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121"/>
      <c r="U14" s="122"/>
      <c r="V14" s="73"/>
    </row>
    <row r="15" spans="1:22">
      <c r="A15" s="63"/>
      <c r="B15" s="7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121"/>
      <c r="U15" s="122"/>
      <c r="V15" s="73"/>
    </row>
    <row r="16" spans="1:22">
      <c r="A16" s="63"/>
      <c r="B16" s="7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121"/>
      <c r="U16" s="122"/>
      <c r="V16" s="73"/>
    </row>
    <row r="17" spans="1:22">
      <c r="A17" s="63"/>
      <c r="B17" s="7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121"/>
      <c r="U17" s="122"/>
      <c r="V17" s="73"/>
    </row>
    <row r="18" spans="1:22">
      <c r="A18" s="63"/>
      <c r="B18" s="7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121"/>
      <c r="U18" s="122"/>
      <c r="V18" s="73"/>
    </row>
    <row r="19" spans="1:22">
      <c r="A19" s="63"/>
      <c r="B19" s="7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121"/>
      <c r="U19" s="122"/>
      <c r="V19" s="73"/>
    </row>
    <row r="20" spans="1:22">
      <c r="A20" s="63"/>
      <c r="B20" s="7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121"/>
      <c r="U20" s="122"/>
      <c r="V20" s="73"/>
    </row>
    <row r="21" spans="1:22">
      <c r="A21" s="63"/>
      <c r="B21" s="7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121"/>
      <c r="U21" s="122"/>
      <c r="V21" s="73"/>
    </row>
    <row r="22" spans="1:22">
      <c r="A22" s="63"/>
      <c r="B22" s="7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121"/>
      <c r="U22" s="122"/>
      <c r="V22" s="73"/>
    </row>
    <row r="23" spans="1:22">
      <c r="A23" s="63"/>
      <c r="B23" s="7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121"/>
      <c r="U23" s="122"/>
      <c r="V23" s="73"/>
    </row>
    <row r="24" spans="1:22">
      <c r="A24" s="63"/>
      <c r="B24" s="7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121"/>
      <c r="U24" s="122"/>
      <c r="V24" s="73"/>
    </row>
    <row r="25" spans="1:22">
      <c r="A25" s="63"/>
      <c r="B25" s="7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121"/>
      <c r="U25" s="122"/>
      <c r="V25" s="73"/>
    </row>
    <row r="26" spans="1:22">
      <c r="A26" s="63"/>
      <c r="B26" s="7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121"/>
      <c r="U26" s="122"/>
      <c r="V26" s="73"/>
    </row>
    <row r="27" spans="1:22">
      <c r="A27" s="63"/>
      <c r="B27" s="7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121"/>
      <c r="U27" s="122"/>
      <c r="V27" s="73"/>
    </row>
    <row r="28" spans="1:22">
      <c r="A28" s="63"/>
      <c r="B28" s="7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121"/>
      <c r="U28" s="122"/>
      <c r="V28" s="73"/>
    </row>
    <row r="29" spans="1:22">
      <c r="A29" s="63"/>
      <c r="B29" s="7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121"/>
      <c r="U29" s="122"/>
      <c r="V29" s="73"/>
    </row>
    <row r="30" spans="1:22">
      <c r="A30" s="63"/>
      <c r="B30" s="7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121"/>
      <c r="U30" s="122"/>
      <c r="V30" s="73"/>
    </row>
    <row r="31" spans="1:22">
      <c r="A31" s="63"/>
      <c r="B31" s="7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121"/>
      <c r="U31" s="122"/>
      <c r="V31" s="73"/>
    </row>
    <row r="32" spans="1:22">
      <c r="A32" s="63"/>
      <c r="B32" s="7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121"/>
      <c r="U32" s="122"/>
      <c r="V32" s="73"/>
    </row>
    <row r="33" spans="1:22">
      <c r="A33" s="63"/>
      <c r="B33" s="7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121"/>
      <c r="U33" s="122"/>
      <c r="V33" s="73"/>
    </row>
    <row r="34" spans="1:22">
      <c r="A34" s="63"/>
      <c r="B34" s="7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121"/>
      <c r="U34" s="122"/>
      <c r="V34" s="73"/>
    </row>
    <row r="35" spans="1:22">
      <c r="A35" s="63"/>
      <c r="B35" s="7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121"/>
      <c r="U35" s="122"/>
      <c r="V35" s="73"/>
    </row>
    <row r="36" spans="1:22">
      <c r="A36" s="63"/>
      <c r="B36" s="7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121"/>
      <c r="U36" s="122"/>
      <c r="V36" s="73"/>
    </row>
    <row r="37" spans="1:22">
      <c r="A37" s="63"/>
      <c r="B37" s="7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121"/>
      <c r="U37" s="122"/>
      <c r="V37" s="73"/>
    </row>
    <row r="38" spans="1:22">
      <c r="A38" s="63"/>
      <c r="B38" s="7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121"/>
      <c r="U38" s="122"/>
      <c r="V38" s="73"/>
    </row>
    <row r="39" spans="1:22">
      <c r="A39" s="63"/>
      <c r="B39" s="7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121"/>
      <c r="U39" s="122"/>
      <c r="V39" s="73"/>
    </row>
    <row r="40" spans="1:22">
      <c r="A40" s="63"/>
      <c r="B40" s="7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121"/>
      <c r="U40" s="122"/>
      <c r="V40" s="73"/>
    </row>
    <row r="41" spans="1:22">
      <c r="A41" s="63"/>
      <c r="B41" s="7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121"/>
      <c r="U41" s="122"/>
      <c r="V41" s="73"/>
    </row>
    <row r="42" spans="1:22">
      <c r="A42" s="63"/>
      <c r="B42" s="7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121"/>
      <c r="U42" s="122"/>
      <c r="V42" s="73"/>
    </row>
    <row r="43" spans="1:22">
      <c r="A43" s="63"/>
      <c r="B43" s="7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121"/>
      <c r="U43" s="122"/>
      <c r="V43" s="73"/>
    </row>
    <row r="44" spans="1:22">
      <c r="A44" s="63"/>
      <c r="B44" s="7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121"/>
      <c r="U44" s="122"/>
      <c r="V44" s="73"/>
    </row>
    <row r="45" spans="1:22">
      <c r="A45" s="63"/>
      <c r="B45" s="7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121"/>
      <c r="U45" s="122"/>
      <c r="V45" s="73"/>
    </row>
    <row r="46" spans="1:22">
      <c r="A46" s="63"/>
      <c r="B46" s="7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121"/>
      <c r="U46" s="122"/>
      <c r="V46" s="73"/>
    </row>
    <row r="47" spans="1:22">
      <c r="A47" s="63"/>
      <c r="B47" s="7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121"/>
      <c r="U47" s="122"/>
      <c r="V47" s="73"/>
    </row>
    <row r="48" spans="1:22">
      <c r="A48" s="63"/>
      <c r="B48" s="7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121"/>
      <c r="U48" s="122"/>
      <c r="V48" s="73"/>
    </row>
    <row r="49" spans="1:22">
      <c r="A49" s="63"/>
      <c r="B49" s="7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121"/>
      <c r="U49" s="122"/>
      <c r="V49" s="73"/>
    </row>
    <row r="50" spans="1:22">
      <c r="A50" s="63"/>
      <c r="B50" s="7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121"/>
      <c r="U50" s="122"/>
      <c r="V50" s="73"/>
    </row>
    <row r="51" spans="1:22">
      <c r="A51" s="63"/>
      <c r="B51" s="7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121"/>
      <c r="U51" s="122"/>
      <c r="V51" s="73"/>
    </row>
    <row r="52" spans="1:22">
      <c r="A52" s="63"/>
      <c r="B52" s="7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121"/>
      <c r="U52" s="122"/>
      <c r="V52" s="73"/>
    </row>
    <row r="53" spans="1:22">
      <c r="A53" s="63"/>
      <c r="B53" s="7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121"/>
      <c r="U53" s="122"/>
      <c r="V53" s="73"/>
    </row>
    <row r="54" spans="1:22">
      <c r="A54" s="63"/>
      <c r="B54" s="7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121"/>
      <c r="U54" s="122"/>
      <c r="V54" s="73"/>
    </row>
    <row r="55" spans="1:22">
      <c r="A55" s="63"/>
      <c r="B55" s="7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121"/>
      <c r="U55" s="122"/>
      <c r="V55" s="73"/>
    </row>
    <row r="56" spans="1:22">
      <c r="A56" s="63"/>
      <c r="B56" s="7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121"/>
      <c r="U56" s="122"/>
      <c r="V56" s="73"/>
    </row>
    <row r="57" spans="1:22">
      <c r="A57" s="63"/>
      <c r="B57" s="7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121"/>
      <c r="U57" s="122"/>
      <c r="V57" s="73"/>
    </row>
    <row r="58" spans="1:22">
      <c r="A58" s="63"/>
      <c r="B58" s="7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121"/>
      <c r="U58" s="122"/>
      <c r="V58" s="73"/>
    </row>
    <row r="59" spans="1:22">
      <c r="A59" s="63"/>
      <c r="B59" s="7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121"/>
      <c r="U59" s="122"/>
      <c r="V59" s="73"/>
    </row>
    <row r="60" spans="1:22">
      <c r="A60" s="63"/>
      <c r="B60" s="7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121"/>
      <c r="U60" s="122"/>
      <c r="V60" s="73"/>
    </row>
    <row r="61" spans="1:22">
      <c r="A61" s="63"/>
      <c r="B61" s="7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121"/>
      <c r="U61" s="122"/>
      <c r="V61" s="73"/>
    </row>
    <row r="62" spans="1:22">
      <c r="A62" s="63"/>
      <c r="B62" s="7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121"/>
      <c r="U62" s="122"/>
      <c r="V62" s="73"/>
    </row>
    <row r="63" spans="1:22">
      <c r="A63" s="63"/>
      <c r="B63" s="7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80"/>
      <c r="R63" s="80"/>
      <c r="S63" s="80"/>
      <c r="T63" s="121"/>
      <c r="U63" s="122"/>
      <c r="V63" s="73"/>
    </row>
    <row r="64" spans="1:22">
      <c r="A64" s="63"/>
      <c r="B64" s="7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80"/>
      <c r="R64" s="80"/>
      <c r="S64" s="80"/>
      <c r="T64" s="121"/>
      <c r="U64" s="122"/>
      <c r="V64" s="73"/>
    </row>
    <row r="65" spans="1:22">
      <c r="A65" s="63"/>
      <c r="B65" s="7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80"/>
      <c r="S65" s="80"/>
      <c r="T65" s="121"/>
      <c r="U65" s="122"/>
      <c r="V65" s="73"/>
    </row>
    <row r="66" spans="1:22">
      <c r="A66" s="63"/>
      <c r="B66" s="7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121"/>
      <c r="U66" s="122"/>
      <c r="V66" s="73"/>
    </row>
    <row r="67" spans="1:22">
      <c r="A67" s="63"/>
      <c r="B67" s="7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121"/>
      <c r="U67" s="122"/>
      <c r="V67" s="73"/>
    </row>
    <row r="68" spans="1:22">
      <c r="A68" s="63"/>
      <c r="B68" s="7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80"/>
      <c r="R68" s="80"/>
      <c r="S68" s="80"/>
      <c r="T68" s="121"/>
      <c r="U68" s="122"/>
      <c r="V68" s="73"/>
    </row>
    <row r="69" spans="1:22">
      <c r="A69" s="63"/>
      <c r="B69" s="7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121"/>
      <c r="U69" s="122"/>
      <c r="V69" s="73"/>
    </row>
    <row r="70" spans="1:22">
      <c r="A70" s="63"/>
      <c r="B70" s="7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121"/>
      <c r="U70" s="122"/>
      <c r="V70" s="73"/>
    </row>
    <row r="71" spans="1:22">
      <c r="A71" s="63"/>
      <c r="B71" s="7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80"/>
      <c r="S71" s="80"/>
      <c r="T71" s="121"/>
      <c r="U71" s="122"/>
      <c r="V71" s="73"/>
    </row>
    <row r="72" spans="1:22">
      <c r="A72" s="63"/>
      <c r="B72" s="7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0"/>
      <c r="R72" s="80"/>
      <c r="S72" s="80"/>
      <c r="T72" s="121"/>
      <c r="U72" s="122"/>
      <c r="V72" s="73"/>
    </row>
    <row r="73" spans="1:22">
      <c r="A73" s="63"/>
      <c r="B73" s="7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121"/>
      <c r="U73" s="122"/>
      <c r="V73" s="73"/>
    </row>
    <row r="74" spans="1:22">
      <c r="A74" s="63"/>
      <c r="B74" s="7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121"/>
      <c r="U74" s="122"/>
      <c r="V74" s="73"/>
    </row>
    <row r="75" spans="1:22">
      <c r="A75" s="63"/>
      <c r="B75" s="7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121"/>
      <c r="U75" s="122"/>
      <c r="V75" s="73"/>
    </row>
    <row r="76" spans="1:22">
      <c r="A76" s="63"/>
      <c r="B76" s="7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  <c r="R76" s="80"/>
      <c r="S76" s="80"/>
      <c r="T76" s="121"/>
      <c r="U76" s="122"/>
      <c r="V76" s="73"/>
    </row>
    <row r="77" spans="1:22">
      <c r="A77" s="63"/>
      <c r="B77" s="7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80"/>
      <c r="R77" s="80"/>
      <c r="S77" s="80"/>
      <c r="T77" s="121"/>
      <c r="U77" s="122"/>
      <c r="V77" s="73"/>
    </row>
    <row r="78" spans="1:22">
      <c r="A78" s="63"/>
      <c r="B78" s="7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  <c r="R78" s="80"/>
      <c r="S78" s="80"/>
      <c r="T78" s="121"/>
      <c r="U78" s="122"/>
      <c r="V78" s="73"/>
    </row>
    <row r="79" spans="1:22">
      <c r="A79" s="63"/>
      <c r="B79" s="7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80"/>
      <c r="S79" s="80"/>
      <c r="T79" s="121"/>
      <c r="U79" s="122"/>
      <c r="V79" s="73"/>
    </row>
    <row r="80" spans="1:22">
      <c r="A80" s="63"/>
      <c r="B80" s="7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121"/>
      <c r="U80" s="122"/>
      <c r="V80" s="73"/>
    </row>
    <row r="81" spans="1:22">
      <c r="A81" s="63"/>
      <c r="B81" s="7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80"/>
      <c r="R81" s="80"/>
      <c r="S81" s="80"/>
      <c r="T81" s="121"/>
      <c r="U81" s="122"/>
      <c r="V81" s="73"/>
    </row>
    <row r="82" spans="1:22">
      <c r="A82" s="63"/>
      <c r="B82" s="7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  <c r="R82" s="80"/>
      <c r="S82" s="80"/>
      <c r="T82" s="121"/>
      <c r="U82" s="122"/>
      <c r="V82" s="73"/>
    </row>
    <row r="83" spans="1:22">
      <c r="A83" s="63"/>
      <c r="B83" s="7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121"/>
      <c r="U83" s="122"/>
      <c r="V83" s="73"/>
    </row>
    <row r="84" spans="1:22">
      <c r="A84" s="63"/>
      <c r="B84" s="7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121"/>
      <c r="U84" s="122"/>
      <c r="V84" s="73"/>
    </row>
    <row r="85" spans="1:22">
      <c r="A85" s="63"/>
      <c r="B85" s="7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121"/>
      <c r="U85" s="122"/>
      <c r="V85" s="73"/>
    </row>
    <row r="86" spans="1:22">
      <c r="A86" s="63"/>
      <c r="B86" s="70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0"/>
      <c r="R86" s="80"/>
      <c r="S86" s="80"/>
      <c r="T86" s="121"/>
      <c r="U86" s="122"/>
      <c r="V86" s="73"/>
    </row>
    <row r="87" spans="1:22">
      <c r="A87" s="63"/>
      <c r="B87" s="70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0"/>
      <c r="S87" s="80"/>
      <c r="T87" s="121"/>
      <c r="U87" s="122"/>
      <c r="V87" s="73"/>
    </row>
    <row r="88" spans="1:22">
      <c r="A88" s="63"/>
      <c r="B88" s="70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  <c r="R88" s="80"/>
      <c r="S88" s="80"/>
      <c r="T88" s="121"/>
      <c r="U88" s="122"/>
      <c r="V88" s="73"/>
    </row>
    <row r="89" spans="1:22">
      <c r="A89" s="63"/>
      <c r="B89" s="70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80"/>
      <c r="R89" s="80"/>
      <c r="S89" s="80"/>
      <c r="T89" s="121"/>
      <c r="U89" s="122"/>
      <c r="V89" s="73"/>
    </row>
    <row r="90" spans="1:22">
      <c r="A90" s="63"/>
      <c r="B90" s="70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  <c r="R90" s="80"/>
      <c r="S90" s="80"/>
      <c r="T90" s="121"/>
      <c r="U90" s="122"/>
      <c r="V90" s="73"/>
    </row>
    <row r="91" spans="1:22">
      <c r="A91" s="63"/>
      <c r="B91" s="70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0"/>
      <c r="R91" s="80"/>
      <c r="S91" s="80"/>
      <c r="T91" s="121"/>
      <c r="U91" s="122"/>
      <c r="V91" s="73"/>
    </row>
    <row r="92" spans="1:22">
      <c r="A92" s="63"/>
      <c r="B92" s="70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  <c r="R92" s="80"/>
      <c r="S92" s="80"/>
      <c r="T92" s="121"/>
      <c r="U92" s="122"/>
      <c r="V92" s="73"/>
    </row>
    <row r="93" spans="1:22">
      <c r="A93" s="63"/>
      <c r="B93" s="70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80"/>
      <c r="R93" s="80"/>
      <c r="S93" s="80"/>
      <c r="T93" s="121"/>
      <c r="U93" s="122"/>
      <c r="V93" s="73"/>
    </row>
    <row r="94" spans="1:22">
      <c r="A94" s="63"/>
      <c r="B94" s="7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80"/>
      <c r="S94" s="80"/>
      <c r="T94" s="121"/>
      <c r="U94" s="122"/>
      <c r="V94" s="73"/>
    </row>
    <row r="95" spans="1:22">
      <c r="A95" s="63"/>
      <c r="B95" s="70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121"/>
      <c r="U95" s="122"/>
      <c r="V95" s="73"/>
    </row>
    <row r="96" spans="1:22">
      <c r="A96" s="63"/>
      <c r="B96" s="70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121"/>
      <c r="U96" s="122"/>
      <c r="V96" s="73"/>
    </row>
    <row r="97" spans="1:22">
      <c r="A97" s="63"/>
      <c r="B97" s="70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121"/>
      <c r="U97" s="122"/>
      <c r="V97" s="73"/>
    </row>
    <row r="98" spans="1:22">
      <c r="A98" s="63"/>
      <c r="B98" s="70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121"/>
      <c r="U98" s="122"/>
      <c r="V98" s="73"/>
    </row>
    <row r="99" spans="1:22">
      <c r="A99" s="63"/>
      <c r="B99" s="70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121"/>
      <c r="U99" s="122"/>
      <c r="V99" s="73"/>
    </row>
    <row r="100" spans="1:22">
      <c r="A100" s="63"/>
      <c r="B100" s="7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121"/>
      <c r="U100" s="122"/>
      <c r="V100" s="73"/>
    </row>
    <row r="101" spans="1:22">
      <c r="A101" s="63"/>
      <c r="B101" s="7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121"/>
      <c r="U101" s="122"/>
      <c r="V101" s="73"/>
    </row>
    <row r="102" spans="1:22">
      <c r="A102" s="63"/>
      <c r="B102" s="70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121"/>
      <c r="U102" s="122"/>
      <c r="V102" s="73"/>
    </row>
    <row r="103" spans="1:22">
      <c r="A103" s="63"/>
      <c r="B103" s="70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121"/>
      <c r="U103" s="122"/>
      <c r="V103" s="73"/>
    </row>
    <row r="104" spans="1:22">
      <c r="A104" s="63"/>
      <c r="B104" s="70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121"/>
      <c r="U104" s="122"/>
      <c r="V104" s="73"/>
    </row>
    <row r="105" spans="1:22">
      <c r="A105" s="63"/>
      <c r="B105" s="70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121"/>
      <c r="U105" s="122"/>
      <c r="V105" s="73"/>
    </row>
    <row r="106" spans="1:22">
      <c r="A106" s="63"/>
      <c r="B106" s="70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121"/>
      <c r="U106" s="122"/>
      <c r="V106" s="73"/>
    </row>
    <row r="107" spans="1:22">
      <c r="A107" s="63"/>
      <c r="B107" s="70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121"/>
      <c r="U107" s="122"/>
      <c r="V107" s="73"/>
    </row>
    <row r="108" spans="1:22">
      <c r="A108" s="63"/>
      <c r="B108" s="70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121"/>
      <c r="U108" s="122"/>
      <c r="V108" s="73"/>
    </row>
    <row r="109" spans="1:22">
      <c r="A109" s="63"/>
      <c r="B109" s="70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0"/>
      <c r="P109" s="80"/>
      <c r="Q109" s="80"/>
      <c r="R109" s="80"/>
      <c r="S109" s="80"/>
      <c r="T109" s="121"/>
      <c r="U109" s="122"/>
      <c r="V109" s="73"/>
    </row>
    <row r="110" spans="1:22">
      <c r="A110" s="63"/>
      <c r="B110" s="7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80"/>
      <c r="S110" s="80"/>
      <c r="T110" s="121"/>
      <c r="U110" s="122"/>
      <c r="V110" s="73"/>
    </row>
    <row r="111" spans="1:22">
      <c r="A111" s="63"/>
      <c r="B111" s="70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0"/>
      <c r="S111" s="80"/>
      <c r="T111" s="121"/>
      <c r="U111" s="122"/>
      <c r="V111" s="73"/>
    </row>
    <row r="112" spans="1:22">
      <c r="A112" s="63"/>
      <c r="B112" s="70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80"/>
      <c r="T112" s="121"/>
      <c r="U112" s="122"/>
      <c r="V112" s="73"/>
    </row>
    <row r="113" spans="1:22">
      <c r="A113" s="63"/>
      <c r="B113" s="70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0"/>
      <c r="S113" s="80"/>
      <c r="T113" s="121"/>
      <c r="U113" s="122"/>
      <c r="V113" s="73"/>
    </row>
    <row r="114" spans="1:22">
      <c r="A114" s="63"/>
      <c r="B114" s="7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  <c r="S114" s="80"/>
      <c r="T114" s="121"/>
      <c r="U114" s="122"/>
      <c r="V114" s="73"/>
    </row>
    <row r="115" spans="1:22">
      <c r="A115" s="63"/>
      <c r="B115" s="70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0"/>
      <c r="P115" s="80"/>
      <c r="Q115" s="80"/>
      <c r="R115" s="80"/>
      <c r="S115" s="80"/>
      <c r="T115" s="121"/>
      <c r="U115" s="122"/>
      <c r="V115" s="73"/>
    </row>
    <row r="116" spans="1:22">
      <c r="A116" s="63"/>
      <c r="B116" s="70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0"/>
      <c r="N116" s="80"/>
      <c r="O116" s="80"/>
      <c r="P116" s="80"/>
      <c r="Q116" s="80"/>
      <c r="R116" s="80"/>
      <c r="S116" s="80"/>
      <c r="T116" s="121"/>
      <c r="U116" s="122"/>
      <c r="V116" s="73"/>
    </row>
    <row r="117" spans="1:22">
      <c r="A117" s="63"/>
      <c r="B117" s="70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121"/>
      <c r="U117" s="122"/>
      <c r="V117" s="73"/>
    </row>
    <row r="118" spans="1:22">
      <c r="A118" s="63"/>
      <c r="B118" s="70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121"/>
      <c r="U118" s="122"/>
      <c r="V118" s="73"/>
    </row>
    <row r="119" spans="1:22">
      <c r="A119" s="63"/>
      <c r="B119" s="70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121"/>
      <c r="U119" s="122"/>
      <c r="V119" s="73"/>
    </row>
    <row r="120" spans="1:22">
      <c r="A120" s="63"/>
      <c r="B120" s="70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121"/>
      <c r="U120" s="122"/>
      <c r="V120" s="73"/>
    </row>
    <row r="121" spans="1:22">
      <c r="A121" s="63"/>
      <c r="B121" s="70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121"/>
      <c r="U121" s="122"/>
      <c r="V121" s="73"/>
    </row>
    <row r="122" spans="1:22">
      <c r="A122" s="63"/>
      <c r="B122" s="70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121"/>
      <c r="U122" s="122"/>
      <c r="V122" s="73"/>
    </row>
    <row r="123" spans="1:22">
      <c r="A123" s="63"/>
      <c r="B123" s="70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80"/>
      <c r="R123" s="80"/>
      <c r="S123" s="80"/>
      <c r="T123" s="121"/>
      <c r="U123" s="122"/>
      <c r="V123" s="73"/>
    </row>
    <row r="124" spans="1:22">
      <c r="A124" s="63"/>
      <c r="B124" s="70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121"/>
      <c r="U124" s="122"/>
      <c r="V124" s="73"/>
    </row>
    <row r="125" spans="1:22">
      <c r="A125" s="63"/>
      <c r="B125" s="70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0"/>
      <c r="P125" s="80"/>
      <c r="Q125" s="80"/>
      <c r="R125" s="80"/>
      <c r="S125" s="80"/>
      <c r="T125" s="121"/>
      <c r="U125" s="122"/>
      <c r="V125" s="73"/>
    </row>
    <row r="126" spans="1:22">
      <c r="A126" s="63"/>
      <c r="B126" s="70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0"/>
      <c r="N126" s="80"/>
      <c r="O126" s="80"/>
      <c r="P126" s="80"/>
      <c r="Q126" s="80"/>
      <c r="R126" s="80"/>
      <c r="S126" s="80"/>
      <c r="T126" s="121"/>
      <c r="U126" s="122"/>
      <c r="V126" s="73"/>
    </row>
    <row r="127" spans="1:22">
      <c r="A127" s="63"/>
      <c r="B127" s="70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0"/>
      <c r="S127" s="80"/>
      <c r="T127" s="121"/>
      <c r="U127" s="122"/>
      <c r="V127" s="73"/>
    </row>
    <row r="128" spans="1:22">
      <c r="A128" s="63"/>
      <c r="B128" s="70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0"/>
      <c r="N128" s="80"/>
      <c r="O128" s="80"/>
      <c r="P128" s="80"/>
      <c r="Q128" s="80"/>
      <c r="R128" s="80"/>
      <c r="S128" s="80"/>
      <c r="T128" s="121"/>
      <c r="U128" s="122"/>
      <c r="V128" s="73"/>
    </row>
    <row r="129" spans="1:22">
      <c r="A129" s="63"/>
      <c r="B129" s="70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0"/>
      <c r="N129" s="80"/>
      <c r="O129" s="80"/>
      <c r="P129" s="80"/>
      <c r="Q129" s="80"/>
      <c r="R129" s="80"/>
      <c r="S129" s="80"/>
      <c r="T129" s="121"/>
      <c r="U129" s="122"/>
      <c r="V129" s="73"/>
    </row>
    <row r="130" spans="1:22">
      <c r="A130" s="63"/>
      <c r="B130" s="70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0"/>
      <c r="N130" s="80"/>
      <c r="O130" s="80"/>
      <c r="P130" s="80"/>
      <c r="Q130" s="80"/>
      <c r="R130" s="80"/>
      <c r="S130" s="80"/>
      <c r="T130" s="121"/>
      <c r="U130" s="122"/>
      <c r="V130" s="73"/>
    </row>
    <row r="131" spans="1:22">
      <c r="A131" s="63"/>
      <c r="B131" s="70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121"/>
      <c r="U131" s="122"/>
      <c r="V131" s="73"/>
    </row>
    <row r="132" spans="1:22">
      <c r="A132" s="63"/>
      <c r="B132" s="70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121"/>
      <c r="U132" s="122"/>
      <c r="V132" s="73"/>
    </row>
    <row r="133" spans="1:22">
      <c r="A133" s="63"/>
      <c r="B133" s="70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121"/>
      <c r="U133" s="122"/>
      <c r="V133" s="73"/>
    </row>
    <row r="134" spans="1:22">
      <c r="A134" s="63"/>
      <c r="B134" s="70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121"/>
      <c r="U134" s="122"/>
      <c r="V134" s="73"/>
    </row>
    <row r="135" spans="1:22">
      <c r="A135" s="63"/>
      <c r="B135" s="70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121"/>
      <c r="U135" s="122"/>
      <c r="V135" s="73"/>
    </row>
    <row r="136" spans="1:22">
      <c r="A136" s="63"/>
      <c r="B136" s="70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121"/>
      <c r="U136" s="122"/>
      <c r="V136" s="73"/>
    </row>
    <row r="137" spans="1:22">
      <c r="A137" s="63"/>
      <c r="B137" s="70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121"/>
      <c r="U137" s="122"/>
      <c r="V137" s="73"/>
    </row>
    <row r="138" spans="1:22">
      <c r="A138" s="63"/>
      <c r="B138" s="70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121"/>
      <c r="U138" s="122"/>
      <c r="V138" s="73"/>
    </row>
    <row r="139" spans="1:22">
      <c r="A139" s="63"/>
      <c r="B139" s="70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80"/>
      <c r="R139" s="80"/>
      <c r="S139" s="80"/>
      <c r="T139" s="121"/>
      <c r="U139" s="122"/>
      <c r="V139" s="73"/>
    </row>
    <row r="140" spans="1:22">
      <c r="A140" s="63"/>
      <c r="B140" s="70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121"/>
      <c r="U140" s="122"/>
      <c r="V140" s="73"/>
    </row>
    <row r="141" spans="1:22">
      <c r="A141" s="63"/>
      <c r="B141" s="70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121"/>
      <c r="U141" s="122"/>
      <c r="V141" s="73"/>
    </row>
    <row r="142" spans="1:22">
      <c r="A142" s="63"/>
      <c r="B142" s="70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121"/>
      <c r="U142" s="122"/>
      <c r="V142" s="73"/>
    </row>
    <row r="143" spans="1:22">
      <c r="A143" s="63"/>
      <c r="B143" s="70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121"/>
      <c r="U143" s="122"/>
      <c r="V143" s="73"/>
    </row>
    <row r="144" spans="1:22">
      <c r="A144" s="63"/>
      <c r="B144" s="70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121"/>
      <c r="U144" s="122"/>
      <c r="V144" s="73"/>
    </row>
    <row r="145" spans="1:22">
      <c r="A145" s="63"/>
      <c r="B145" s="70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121"/>
      <c r="U145" s="122"/>
      <c r="V145" s="73"/>
    </row>
    <row r="146" spans="1:22">
      <c r="A146" s="63"/>
      <c r="B146" s="70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121"/>
      <c r="U146" s="122"/>
      <c r="V146" s="73"/>
    </row>
    <row r="147" spans="1:22">
      <c r="A147" s="63"/>
      <c r="B147" s="70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121"/>
      <c r="U147" s="122"/>
      <c r="V147" s="73"/>
    </row>
    <row r="148" spans="1:22">
      <c r="A148" s="63"/>
      <c r="B148" s="70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121"/>
      <c r="U148" s="122"/>
      <c r="V148" s="73"/>
    </row>
    <row r="149" spans="1:22">
      <c r="A149" s="63"/>
      <c r="B149" s="70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121"/>
      <c r="U149" s="122"/>
      <c r="V149" s="73"/>
    </row>
    <row r="150" spans="1:22">
      <c r="A150" s="63"/>
      <c r="B150" s="70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121"/>
      <c r="U150" s="122"/>
      <c r="V150" s="73"/>
    </row>
    <row r="151" spans="1:22">
      <c r="A151" s="63"/>
      <c r="B151" s="70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121"/>
      <c r="U151" s="122"/>
      <c r="V151" s="73"/>
    </row>
    <row r="152" spans="1:22">
      <c r="A152" s="63"/>
      <c r="B152" s="7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121"/>
      <c r="U152" s="122"/>
      <c r="V152" s="73"/>
    </row>
    <row r="153" spans="1:22">
      <c r="A153" s="63"/>
      <c r="B153" s="7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121"/>
      <c r="U153" s="122"/>
      <c r="V153" s="73"/>
    </row>
    <row r="154" spans="1:22">
      <c r="A154" s="63"/>
      <c r="B154" s="7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121"/>
      <c r="U154" s="122"/>
      <c r="V154" s="73"/>
    </row>
    <row r="155" spans="1:22">
      <c r="A155" s="63"/>
      <c r="B155" s="7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121"/>
      <c r="U155" s="122"/>
      <c r="V155" s="73"/>
    </row>
    <row r="156" spans="1:22">
      <c r="A156" s="63"/>
      <c r="B156" s="7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121"/>
      <c r="U156" s="122"/>
      <c r="V156" s="73"/>
    </row>
    <row r="157" spans="1:22">
      <c r="A157" s="63"/>
      <c r="B157" s="7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121"/>
      <c r="U157" s="122"/>
      <c r="V157" s="73"/>
    </row>
    <row r="158" spans="1:22">
      <c r="A158" s="63"/>
      <c r="B158" s="70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0"/>
      <c r="N158" s="80"/>
      <c r="O158" s="80"/>
      <c r="P158" s="80"/>
      <c r="Q158" s="80"/>
      <c r="R158" s="80"/>
      <c r="S158" s="80"/>
      <c r="T158" s="121"/>
      <c r="U158" s="122"/>
      <c r="V158" s="73"/>
    </row>
    <row r="159" spans="1:22">
      <c r="A159" s="63"/>
      <c r="B159" s="70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0"/>
      <c r="N159" s="80"/>
      <c r="O159" s="80"/>
      <c r="P159" s="80"/>
      <c r="Q159" s="80"/>
      <c r="R159" s="80"/>
      <c r="S159" s="80"/>
      <c r="T159" s="121"/>
      <c r="U159" s="122"/>
      <c r="V159" s="73"/>
    </row>
    <row r="160" spans="1:22">
      <c r="A160" s="63"/>
      <c r="B160" s="70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0"/>
      <c r="N160" s="80"/>
      <c r="O160" s="80"/>
      <c r="P160" s="80"/>
      <c r="Q160" s="80"/>
      <c r="R160" s="80"/>
      <c r="S160" s="80"/>
      <c r="T160" s="121"/>
      <c r="U160" s="122"/>
      <c r="V160" s="73"/>
    </row>
    <row r="161" spans="1:22">
      <c r="A161" s="63"/>
      <c r="B161" s="70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0"/>
      <c r="N161" s="80"/>
      <c r="O161" s="80"/>
      <c r="P161" s="80"/>
      <c r="Q161" s="80"/>
      <c r="R161" s="80"/>
      <c r="S161" s="80"/>
      <c r="T161" s="121"/>
      <c r="U161" s="122"/>
      <c r="V161" s="73"/>
    </row>
    <row r="162" spans="1:22">
      <c r="A162" s="63"/>
      <c r="B162" s="70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0"/>
      <c r="N162" s="80"/>
      <c r="O162" s="80"/>
      <c r="P162" s="80"/>
      <c r="Q162" s="80"/>
      <c r="R162" s="80"/>
      <c r="S162" s="80"/>
      <c r="T162" s="121"/>
      <c r="U162" s="122"/>
      <c r="V162" s="73"/>
    </row>
    <row r="163" spans="1:22">
      <c r="A163" s="63"/>
      <c r="B163" s="70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80"/>
      <c r="R163" s="80"/>
      <c r="S163" s="80"/>
      <c r="T163" s="121"/>
      <c r="U163" s="122"/>
      <c r="V163" s="73"/>
    </row>
    <row r="164" spans="1:22">
      <c r="A164" s="63"/>
      <c r="B164" s="70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0"/>
      <c r="Q164" s="80"/>
      <c r="R164" s="80"/>
      <c r="S164" s="80"/>
      <c r="T164" s="121"/>
      <c r="U164" s="122"/>
      <c r="V164" s="73"/>
    </row>
    <row r="165" spans="1:22">
      <c r="A165" s="63"/>
      <c r="B165" s="70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0"/>
      <c r="N165" s="80"/>
      <c r="O165" s="80"/>
      <c r="P165" s="80"/>
      <c r="Q165" s="80"/>
      <c r="R165" s="80"/>
      <c r="S165" s="80"/>
      <c r="T165" s="121"/>
      <c r="U165" s="122"/>
      <c r="V165" s="73"/>
    </row>
    <row r="166" spans="1:22">
      <c r="A166" s="63"/>
      <c r="B166" s="70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0"/>
      <c r="Q166" s="80"/>
      <c r="R166" s="80"/>
      <c r="S166" s="80"/>
      <c r="T166" s="121"/>
      <c r="U166" s="122"/>
      <c r="V166" s="73"/>
    </row>
    <row r="167" spans="1:22">
      <c r="A167" s="63"/>
      <c r="B167" s="70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0"/>
      <c r="S167" s="80"/>
      <c r="T167" s="121"/>
      <c r="U167" s="122"/>
      <c r="V167" s="73"/>
    </row>
    <row r="168" spans="1:22">
      <c r="A168" s="63"/>
      <c r="B168" s="70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121"/>
      <c r="U168" s="122"/>
      <c r="V168" s="73"/>
    </row>
    <row r="169" spans="1:22">
      <c r="A169" s="63"/>
      <c r="B169" s="70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0"/>
      <c r="N169" s="80"/>
      <c r="O169" s="80"/>
      <c r="P169" s="80"/>
      <c r="Q169" s="80"/>
      <c r="R169" s="80"/>
      <c r="S169" s="80"/>
      <c r="T169" s="121"/>
      <c r="U169" s="122"/>
      <c r="V169" s="73"/>
    </row>
    <row r="170" spans="1:22">
      <c r="A170" s="63"/>
      <c r="B170" s="70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0"/>
      <c r="N170" s="80"/>
      <c r="O170" s="80"/>
      <c r="P170" s="80"/>
      <c r="Q170" s="80"/>
      <c r="R170" s="80"/>
      <c r="S170" s="80"/>
      <c r="T170" s="121"/>
      <c r="U170" s="122"/>
      <c r="V170" s="73"/>
    </row>
    <row r="171" spans="1:22">
      <c r="A171" s="63"/>
      <c r="B171" s="70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0"/>
      <c r="N171" s="80"/>
      <c r="O171" s="80"/>
      <c r="P171" s="80"/>
      <c r="Q171" s="80"/>
      <c r="R171" s="80"/>
      <c r="S171" s="80"/>
      <c r="T171" s="121"/>
      <c r="U171" s="122"/>
      <c r="V171" s="73"/>
    </row>
    <row r="172" spans="1:22">
      <c r="A172" s="63"/>
      <c r="B172" s="70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0"/>
      <c r="N172" s="80"/>
      <c r="O172" s="80"/>
      <c r="P172" s="80"/>
      <c r="Q172" s="80"/>
      <c r="R172" s="80"/>
      <c r="S172" s="80"/>
      <c r="T172" s="121"/>
      <c r="U172" s="122"/>
      <c r="V172" s="73"/>
    </row>
    <row r="173" spans="1:22">
      <c r="A173" s="63"/>
      <c r="B173" s="70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0"/>
      <c r="N173" s="80"/>
      <c r="O173" s="80"/>
      <c r="P173" s="80"/>
      <c r="Q173" s="80"/>
      <c r="R173" s="80"/>
      <c r="S173" s="80"/>
      <c r="T173" s="121"/>
      <c r="U173" s="122"/>
      <c r="V173" s="73"/>
    </row>
    <row r="174" spans="1:22">
      <c r="A174" s="63"/>
      <c r="B174" s="70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0"/>
      <c r="N174" s="80"/>
      <c r="O174" s="80"/>
      <c r="P174" s="80"/>
      <c r="Q174" s="80"/>
      <c r="R174" s="80"/>
      <c r="S174" s="80"/>
      <c r="T174" s="121"/>
      <c r="U174" s="122"/>
      <c r="V174" s="73"/>
    </row>
    <row r="175" spans="1:22">
      <c r="A175" s="63"/>
      <c r="B175" s="70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0"/>
      <c r="N175" s="80"/>
      <c r="O175" s="80"/>
      <c r="P175" s="80"/>
      <c r="Q175" s="80"/>
      <c r="R175" s="80"/>
      <c r="S175" s="80"/>
      <c r="T175" s="121"/>
      <c r="U175" s="122"/>
      <c r="V175" s="73"/>
    </row>
    <row r="176" spans="1:22">
      <c r="A176" s="63"/>
      <c r="B176" s="70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121"/>
      <c r="U176" s="122"/>
      <c r="V176" s="73"/>
    </row>
    <row r="177" spans="1:22">
      <c r="A177" s="63"/>
      <c r="B177" s="70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80"/>
      <c r="R177" s="80"/>
      <c r="S177" s="80"/>
      <c r="T177" s="121"/>
      <c r="U177" s="122"/>
      <c r="V177" s="73"/>
    </row>
    <row r="178" spans="1:22">
      <c r="A178" s="63"/>
      <c r="B178" s="70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  <c r="R178" s="80"/>
      <c r="S178" s="80"/>
      <c r="T178" s="121"/>
      <c r="U178" s="122"/>
      <c r="V178" s="73"/>
    </row>
    <row r="179" spans="1:22">
      <c r="A179" s="63"/>
      <c r="B179" s="70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121"/>
      <c r="U179" s="122"/>
      <c r="V179" s="73"/>
    </row>
    <row r="180" spans="1:22">
      <c r="A180" s="63"/>
      <c r="B180" s="70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80"/>
      <c r="T180" s="121"/>
      <c r="U180" s="122"/>
      <c r="V180" s="73"/>
    </row>
    <row r="181" spans="1:22">
      <c r="A181" s="63"/>
      <c r="B181" s="70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80"/>
      <c r="R181" s="80"/>
      <c r="S181" s="80"/>
      <c r="T181" s="121"/>
      <c r="U181" s="122"/>
      <c r="V181" s="73"/>
    </row>
    <row r="182" spans="1:22">
      <c r="A182" s="63"/>
      <c r="B182" s="70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121"/>
      <c r="U182" s="122"/>
      <c r="V182" s="73"/>
    </row>
    <row r="183" spans="1:22">
      <c r="A183" s="63"/>
      <c r="B183" s="70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80"/>
      <c r="R183" s="80"/>
      <c r="S183" s="80"/>
      <c r="T183" s="121"/>
      <c r="U183" s="122"/>
      <c r="V183" s="73"/>
    </row>
    <row r="184" spans="1:22">
      <c r="A184" s="63"/>
      <c r="B184" s="70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121"/>
      <c r="U184" s="122"/>
      <c r="V184" s="73"/>
    </row>
    <row r="185" spans="1:22">
      <c r="A185" s="63"/>
      <c r="B185" s="70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80"/>
      <c r="R185" s="80"/>
      <c r="S185" s="80"/>
      <c r="T185" s="121"/>
      <c r="U185" s="122"/>
      <c r="V185" s="73"/>
    </row>
    <row r="186" spans="1:22">
      <c r="A186" s="63"/>
      <c r="B186" s="70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0"/>
      <c r="N186" s="80"/>
      <c r="O186" s="80"/>
      <c r="P186" s="80"/>
      <c r="Q186" s="80"/>
      <c r="R186" s="80"/>
      <c r="S186" s="80"/>
      <c r="T186" s="121"/>
      <c r="U186" s="122"/>
      <c r="V186" s="73"/>
    </row>
    <row r="187" spans="1:22">
      <c r="A187" s="63"/>
      <c r="B187" s="70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0"/>
      <c r="S187" s="80"/>
      <c r="T187" s="121"/>
      <c r="U187" s="122"/>
      <c r="V187" s="73"/>
    </row>
    <row r="188" spans="1:22">
      <c r="A188" s="63"/>
      <c r="B188" s="70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0"/>
      <c r="N188" s="80"/>
      <c r="O188" s="80"/>
      <c r="P188" s="80"/>
      <c r="Q188" s="80"/>
      <c r="R188" s="80"/>
      <c r="S188" s="80"/>
      <c r="T188" s="121"/>
      <c r="U188" s="122"/>
      <c r="V188" s="73"/>
    </row>
    <row r="189" spans="1:22">
      <c r="A189" s="63"/>
      <c r="B189" s="70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121"/>
      <c r="U189" s="122"/>
      <c r="V189" s="73"/>
    </row>
    <row r="190" spans="1:22">
      <c r="A190" s="63"/>
      <c r="B190" s="70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121"/>
      <c r="U190" s="122"/>
      <c r="V190" s="73"/>
    </row>
    <row r="191" spans="1:22">
      <c r="A191" s="63"/>
      <c r="B191" s="70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80"/>
      <c r="R191" s="80"/>
      <c r="S191" s="80"/>
      <c r="T191" s="121"/>
      <c r="U191" s="122"/>
      <c r="V191" s="73"/>
    </row>
    <row r="192" spans="1:22">
      <c r="A192" s="63"/>
      <c r="B192" s="70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80"/>
      <c r="T192" s="121"/>
      <c r="U192" s="122"/>
      <c r="V192" s="73"/>
    </row>
    <row r="193" spans="1:22">
      <c r="A193" s="63"/>
      <c r="B193" s="70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80"/>
      <c r="R193" s="80"/>
      <c r="S193" s="80"/>
      <c r="T193" s="121"/>
      <c r="U193" s="122"/>
      <c r="V193" s="73"/>
    </row>
    <row r="194" spans="1:22">
      <c r="A194" s="63"/>
      <c r="B194" s="7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121"/>
      <c r="U194" s="122"/>
      <c r="V194" s="73"/>
    </row>
    <row r="195" spans="1:22">
      <c r="A195" s="63"/>
      <c r="B195" s="70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121"/>
      <c r="U195" s="122"/>
      <c r="V195" s="73"/>
    </row>
    <row r="196" spans="1:22">
      <c r="A196" s="63"/>
      <c r="B196" s="7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121"/>
      <c r="U196" s="122"/>
      <c r="V196" s="73"/>
    </row>
    <row r="197" spans="1:22">
      <c r="A197" s="63"/>
      <c r="B197" s="70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80"/>
      <c r="R197" s="80"/>
      <c r="S197" s="80"/>
      <c r="T197" s="121"/>
      <c r="U197" s="122"/>
      <c r="V197" s="73"/>
    </row>
    <row r="198" spans="1:22">
      <c r="A198" s="63"/>
      <c r="B198" s="70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80"/>
      <c r="R198" s="80"/>
      <c r="S198" s="80"/>
      <c r="T198" s="121"/>
      <c r="U198" s="122"/>
      <c r="V198" s="73"/>
    </row>
    <row r="199" spans="1:22">
      <c r="A199" s="63"/>
      <c r="B199" s="70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80"/>
      <c r="R199" s="80"/>
      <c r="S199" s="80"/>
      <c r="T199" s="121"/>
      <c r="U199" s="122"/>
      <c r="V199" s="73"/>
    </row>
    <row r="200" spans="1:22">
      <c r="A200" s="63"/>
      <c r="B200" s="70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  <c r="R200" s="80"/>
      <c r="S200" s="80"/>
      <c r="T200" s="121"/>
      <c r="U200" s="122"/>
      <c r="V200" s="73"/>
    </row>
    <row r="201" spans="1:22">
      <c r="A201" s="63"/>
      <c r="B201" s="70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80"/>
      <c r="T201" s="121"/>
      <c r="U201" s="122"/>
      <c r="V201" s="73"/>
    </row>
    <row r="202" spans="1:22">
      <c r="A202" s="63"/>
      <c r="B202" s="70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/>
      <c r="P202" s="80"/>
      <c r="Q202" s="80"/>
      <c r="R202" s="80"/>
      <c r="S202" s="80"/>
      <c r="T202" s="121"/>
      <c r="U202" s="122"/>
      <c r="V202" s="73"/>
    </row>
    <row r="203" spans="1:22">
      <c r="A203" s="63"/>
      <c r="B203" s="70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  <c r="R203" s="80"/>
      <c r="S203" s="80"/>
      <c r="T203" s="121"/>
      <c r="U203" s="122"/>
      <c r="V203" s="73"/>
    </row>
    <row r="204" spans="1:22">
      <c r="A204" s="63"/>
      <c r="B204" s="70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  <c r="R204" s="80"/>
      <c r="S204" s="80"/>
      <c r="T204" s="121"/>
      <c r="U204" s="122"/>
      <c r="V204" s="73"/>
    </row>
    <row r="205" spans="1:22">
      <c r="A205" s="63"/>
      <c r="B205" s="70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121"/>
      <c r="U205" s="122"/>
      <c r="V205" s="73"/>
    </row>
    <row r="206" spans="1:22">
      <c r="A206" s="63"/>
      <c r="B206" s="70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121"/>
      <c r="U206" s="122"/>
      <c r="V206" s="73"/>
    </row>
    <row r="207" spans="1:22">
      <c r="A207" s="63"/>
      <c r="B207" s="70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121"/>
      <c r="U207" s="122"/>
      <c r="V207" s="73"/>
    </row>
    <row r="208" spans="1:22">
      <c r="A208" s="63"/>
      <c r="B208" s="70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121"/>
      <c r="U208" s="122"/>
      <c r="V208" s="73"/>
    </row>
    <row r="209" spans="1:22">
      <c r="A209" s="63"/>
      <c r="B209" s="70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  <c r="R209" s="80"/>
      <c r="S209" s="80"/>
      <c r="T209" s="121"/>
      <c r="U209" s="122"/>
      <c r="V209" s="73"/>
    </row>
    <row r="210" spans="1:22">
      <c r="A210" s="63"/>
      <c r="B210" s="70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80"/>
      <c r="R210" s="80"/>
      <c r="S210" s="80"/>
      <c r="T210" s="121"/>
      <c r="U210" s="122"/>
      <c r="V210" s="73"/>
    </row>
    <row r="211" spans="1:22">
      <c r="A211" s="63"/>
      <c r="B211" s="70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  <c r="R211" s="80"/>
      <c r="S211" s="80"/>
      <c r="T211" s="121"/>
      <c r="U211" s="122"/>
      <c r="V211" s="73"/>
    </row>
    <row r="212" spans="1:22">
      <c r="A212" s="63"/>
      <c r="B212" s="70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  <c r="R212" s="80"/>
      <c r="S212" s="80"/>
      <c r="T212" s="121"/>
      <c r="U212" s="122"/>
      <c r="V212" s="73"/>
    </row>
    <row r="213" spans="1:22">
      <c r="A213" s="63"/>
      <c r="B213" s="70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0"/>
      <c r="N213" s="80"/>
      <c r="O213" s="80"/>
      <c r="P213" s="80"/>
      <c r="Q213" s="80"/>
      <c r="R213" s="80"/>
      <c r="S213" s="80"/>
      <c r="T213" s="121"/>
      <c r="U213" s="122"/>
      <c r="V213" s="73"/>
    </row>
    <row r="214" spans="1:22">
      <c r="A214" s="63"/>
      <c r="B214" s="7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T214" s="121"/>
      <c r="U214" s="122"/>
      <c r="V214" s="73"/>
    </row>
    <row r="215" spans="1:22">
      <c r="A215" s="63"/>
      <c r="B215" s="70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80"/>
      <c r="Q215" s="80"/>
      <c r="R215" s="80"/>
      <c r="S215" s="80"/>
      <c r="T215" s="121"/>
      <c r="U215" s="122"/>
      <c r="V215" s="73"/>
    </row>
    <row r="216" spans="1:22">
      <c r="A216" s="63"/>
      <c r="B216" s="70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0"/>
      <c r="N216" s="80"/>
      <c r="O216" s="80"/>
      <c r="P216" s="80"/>
      <c r="Q216" s="80"/>
      <c r="R216" s="80"/>
      <c r="S216" s="80"/>
      <c r="T216" s="121"/>
      <c r="U216" s="122"/>
      <c r="V216" s="73"/>
    </row>
    <row r="217" spans="1:22">
      <c r="A217" s="63"/>
      <c r="B217" s="70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80"/>
      <c r="R217" s="80"/>
      <c r="S217" s="80"/>
      <c r="T217" s="121"/>
      <c r="U217" s="122"/>
      <c r="V217" s="73"/>
    </row>
    <row r="218" spans="1:22">
      <c r="A218" s="63"/>
      <c r="B218" s="70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0"/>
      <c r="N218" s="80"/>
      <c r="O218" s="80"/>
      <c r="P218" s="80"/>
      <c r="Q218" s="80"/>
      <c r="R218" s="80"/>
      <c r="S218" s="80"/>
      <c r="T218" s="121"/>
      <c r="U218" s="122"/>
      <c r="V218" s="73"/>
    </row>
    <row r="219" spans="1:22">
      <c r="A219" s="63"/>
      <c r="B219" s="70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80"/>
      <c r="R219" s="80"/>
      <c r="S219" s="80"/>
      <c r="T219" s="121"/>
      <c r="U219" s="122"/>
      <c r="V219" s="73"/>
    </row>
    <row r="220" spans="1:22">
      <c r="A220" s="63"/>
      <c r="B220" s="70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0"/>
      <c r="N220" s="80"/>
      <c r="O220" s="80"/>
      <c r="P220" s="80"/>
      <c r="Q220" s="80"/>
      <c r="R220" s="80"/>
      <c r="S220" s="80"/>
      <c r="T220" s="121"/>
      <c r="U220" s="122"/>
      <c r="V220" s="73"/>
    </row>
    <row r="221" spans="1:22">
      <c r="A221" s="63"/>
      <c r="B221" s="70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80"/>
      <c r="R221" s="80"/>
      <c r="S221" s="80"/>
      <c r="T221" s="121"/>
      <c r="U221" s="122"/>
      <c r="V221" s="73"/>
    </row>
    <row r="222" spans="1:22">
      <c r="A222" s="63"/>
      <c r="B222" s="70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80"/>
      <c r="R222" s="80"/>
      <c r="S222" s="80"/>
      <c r="T222" s="121"/>
      <c r="U222" s="122"/>
      <c r="V222" s="73"/>
    </row>
    <row r="223" spans="1:22">
      <c r="A223" s="63"/>
      <c r="B223" s="70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121"/>
      <c r="U223" s="122"/>
      <c r="V223" s="73"/>
    </row>
    <row r="224" spans="1:22">
      <c r="A224" s="63"/>
      <c r="B224" s="70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0"/>
      <c r="N224" s="80"/>
      <c r="O224" s="80"/>
      <c r="P224" s="80"/>
      <c r="Q224" s="80"/>
      <c r="R224" s="80"/>
      <c r="S224" s="80"/>
      <c r="T224" s="121"/>
      <c r="U224" s="122"/>
      <c r="V224" s="73"/>
    </row>
    <row r="225" spans="1:22">
      <c r="A225" s="63"/>
      <c r="B225" s="70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O225" s="80"/>
      <c r="P225" s="80"/>
      <c r="Q225" s="80"/>
      <c r="R225" s="80"/>
      <c r="S225" s="80"/>
      <c r="T225" s="121"/>
      <c r="U225" s="122"/>
      <c r="V225" s="73"/>
    </row>
    <row r="226" spans="1:22">
      <c r="A226" s="63"/>
      <c r="B226" s="70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0"/>
      <c r="N226" s="80"/>
      <c r="O226" s="80"/>
      <c r="P226" s="80"/>
      <c r="Q226" s="80"/>
      <c r="R226" s="80"/>
      <c r="S226" s="80"/>
      <c r="T226" s="121"/>
      <c r="U226" s="122"/>
      <c r="V226" s="73"/>
    </row>
    <row r="227" spans="1:22">
      <c r="A227" s="63"/>
      <c r="B227" s="70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0"/>
      <c r="S227" s="80"/>
      <c r="T227" s="121"/>
      <c r="U227" s="122"/>
      <c r="V227" s="73"/>
    </row>
    <row r="228" spans="1:22">
      <c r="A228" s="63"/>
      <c r="B228" s="70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O228" s="80"/>
      <c r="P228" s="80"/>
      <c r="Q228" s="80"/>
      <c r="R228" s="80"/>
      <c r="S228" s="80"/>
      <c r="T228" s="121"/>
      <c r="U228" s="122"/>
      <c r="V228" s="73"/>
    </row>
    <row r="229" spans="1:22">
      <c r="A229" s="63"/>
      <c r="B229" s="70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80"/>
      <c r="R229" s="80"/>
      <c r="S229" s="80"/>
      <c r="T229" s="121"/>
      <c r="U229" s="122"/>
      <c r="V229" s="73"/>
    </row>
    <row r="230" spans="1:22">
      <c r="A230" s="63"/>
      <c r="B230" s="70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O230" s="80"/>
      <c r="P230" s="80"/>
      <c r="Q230" s="80"/>
      <c r="R230" s="80"/>
      <c r="S230" s="80"/>
      <c r="T230" s="121"/>
      <c r="U230" s="122"/>
      <c r="V230" s="73"/>
    </row>
    <row r="231" spans="1:22">
      <c r="A231" s="63"/>
      <c r="B231" s="70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80"/>
      <c r="R231" s="80"/>
      <c r="S231" s="80"/>
      <c r="T231" s="121"/>
      <c r="U231" s="122"/>
      <c r="V231" s="73"/>
    </row>
    <row r="232" spans="1:22">
      <c r="A232" s="63"/>
      <c r="B232" s="70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80"/>
      <c r="R232" s="80"/>
      <c r="S232" s="80"/>
      <c r="T232" s="121"/>
      <c r="U232" s="122"/>
      <c r="V232" s="73"/>
    </row>
    <row r="233" spans="1:22">
      <c r="A233" s="63"/>
      <c r="B233" s="70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  <c r="R233" s="80"/>
      <c r="S233" s="80"/>
      <c r="T233" s="121"/>
      <c r="U233" s="122"/>
      <c r="V233" s="73"/>
    </row>
    <row r="234" spans="1:22">
      <c r="A234" s="63"/>
      <c r="B234" s="70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121"/>
      <c r="U234" s="122"/>
      <c r="V234" s="73"/>
    </row>
    <row r="235" spans="1:22">
      <c r="A235" s="63"/>
      <c r="B235" s="70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  <c r="R235" s="80"/>
      <c r="S235" s="80"/>
      <c r="T235" s="121"/>
      <c r="U235" s="122"/>
      <c r="V235" s="73"/>
    </row>
    <row r="236" spans="1:22">
      <c r="A236" s="63"/>
      <c r="B236" s="70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0"/>
      <c r="N236" s="80"/>
      <c r="O236" s="80"/>
      <c r="P236" s="80"/>
      <c r="Q236" s="80"/>
      <c r="R236" s="80"/>
      <c r="S236" s="80"/>
      <c r="T236" s="121"/>
      <c r="U236" s="122"/>
      <c r="V236" s="73"/>
    </row>
    <row r="237" spans="1:22">
      <c r="A237" s="63"/>
      <c r="B237" s="70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80"/>
      <c r="R237" s="80"/>
      <c r="S237" s="80"/>
      <c r="T237" s="121"/>
      <c r="U237" s="122"/>
      <c r="V237" s="73"/>
    </row>
    <row r="238" spans="1:22">
      <c r="A238" s="63"/>
      <c r="B238" s="70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0"/>
      <c r="N238" s="80"/>
      <c r="O238" s="80"/>
      <c r="P238" s="80"/>
      <c r="Q238" s="80"/>
      <c r="R238" s="80"/>
      <c r="S238" s="80"/>
      <c r="T238" s="121"/>
      <c r="U238" s="122"/>
      <c r="V238" s="73"/>
    </row>
    <row r="239" spans="1:22">
      <c r="A239" s="63"/>
      <c r="B239" s="70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  <c r="R239" s="80"/>
      <c r="S239" s="80"/>
      <c r="T239" s="121"/>
      <c r="U239" s="122"/>
      <c r="V239" s="73"/>
    </row>
    <row r="240" spans="1:22">
      <c r="A240" s="63"/>
      <c r="B240" s="70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0"/>
      <c r="N240" s="80"/>
      <c r="O240" s="80"/>
      <c r="P240" s="80"/>
      <c r="Q240" s="80"/>
      <c r="R240" s="80"/>
      <c r="S240" s="80"/>
      <c r="T240" s="121"/>
      <c r="U240" s="122"/>
      <c r="V240" s="73"/>
    </row>
    <row r="241" spans="1:22">
      <c r="A241" s="63"/>
      <c r="B241" s="70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80"/>
      <c r="R241" s="80"/>
      <c r="S241" s="80"/>
      <c r="T241" s="121"/>
      <c r="U241" s="122"/>
      <c r="V241" s="73"/>
    </row>
    <row r="242" spans="1:22">
      <c r="A242" s="63"/>
      <c r="B242" s="70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80"/>
      <c r="R242" s="80"/>
      <c r="S242" s="80"/>
      <c r="T242" s="121"/>
      <c r="U242" s="122"/>
      <c r="V242" s="73"/>
    </row>
    <row r="243" spans="1:22">
      <c r="A243" s="63"/>
      <c r="B243" s="70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0"/>
      <c r="N243" s="80"/>
      <c r="O243" s="80"/>
      <c r="P243" s="80"/>
      <c r="Q243" s="80"/>
      <c r="R243" s="80"/>
      <c r="S243" s="80"/>
      <c r="T243" s="121"/>
      <c r="U243" s="122"/>
      <c r="V243" s="73"/>
    </row>
    <row r="244" spans="1:22">
      <c r="A244" s="63"/>
      <c r="B244" s="70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0"/>
      <c r="N244" s="80"/>
      <c r="O244" s="80"/>
      <c r="P244" s="80"/>
      <c r="Q244" s="80"/>
      <c r="R244" s="80"/>
      <c r="S244" s="80"/>
      <c r="T244" s="121"/>
      <c r="U244" s="122"/>
      <c r="V244" s="73"/>
    </row>
    <row r="245" spans="1:22">
      <c r="A245" s="63"/>
      <c r="B245" s="70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80"/>
      <c r="R245" s="80"/>
      <c r="S245" s="80"/>
      <c r="T245" s="121"/>
      <c r="U245" s="122"/>
      <c r="V245" s="73"/>
    </row>
    <row r="246" spans="1:22">
      <c r="A246" s="63"/>
      <c r="B246" s="70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0"/>
      <c r="N246" s="80"/>
      <c r="O246" s="80"/>
      <c r="P246" s="80"/>
      <c r="Q246" s="80"/>
      <c r="R246" s="80"/>
      <c r="S246" s="80"/>
      <c r="T246" s="121"/>
      <c r="U246" s="122"/>
      <c r="V246" s="73"/>
    </row>
    <row r="247" spans="1:22">
      <c r="A247" s="63"/>
      <c r="B247" s="70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0"/>
      <c r="S247" s="80"/>
      <c r="T247" s="121"/>
      <c r="U247" s="122"/>
      <c r="V247" s="73"/>
    </row>
    <row r="248" spans="1:22">
      <c r="A248" s="63"/>
      <c r="B248" s="70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80"/>
      <c r="R248" s="80"/>
      <c r="S248" s="80"/>
      <c r="T248" s="121"/>
      <c r="U248" s="122"/>
      <c r="V248" s="73"/>
    </row>
    <row r="249" spans="1:22">
      <c r="A249" s="63"/>
      <c r="B249" s="70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0"/>
      <c r="N249" s="80"/>
      <c r="O249" s="80"/>
      <c r="P249" s="80"/>
      <c r="Q249" s="80"/>
      <c r="R249" s="80"/>
      <c r="S249" s="80"/>
      <c r="T249" s="121"/>
      <c r="U249" s="122"/>
      <c r="V249" s="73"/>
    </row>
    <row r="250" spans="1:22">
      <c r="A250" s="63"/>
      <c r="B250" s="70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0"/>
      <c r="N250" s="80"/>
      <c r="O250" s="80"/>
      <c r="P250" s="80"/>
      <c r="Q250" s="80"/>
      <c r="R250" s="80"/>
      <c r="S250" s="80"/>
      <c r="T250" s="121"/>
      <c r="U250" s="122"/>
      <c r="V250" s="73"/>
    </row>
    <row r="251" spans="1:22">
      <c r="A251" s="63"/>
      <c r="B251" s="70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80"/>
      <c r="R251" s="80"/>
      <c r="S251" s="80"/>
      <c r="T251" s="121"/>
      <c r="U251" s="122"/>
      <c r="V251" s="73"/>
    </row>
    <row r="252" spans="1:22">
      <c r="A252" s="63"/>
      <c r="B252" s="70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0"/>
      <c r="N252" s="80"/>
      <c r="O252" s="80"/>
      <c r="P252" s="80"/>
      <c r="Q252" s="80"/>
      <c r="R252" s="80"/>
      <c r="S252" s="80"/>
      <c r="T252" s="121"/>
      <c r="U252" s="122"/>
      <c r="V252" s="73"/>
    </row>
    <row r="253" spans="1:22">
      <c r="A253" s="63"/>
      <c r="B253" s="70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80"/>
      <c r="R253" s="80"/>
      <c r="S253" s="80"/>
      <c r="T253" s="121"/>
      <c r="U253" s="122"/>
      <c r="V253" s="73"/>
    </row>
    <row r="254" spans="1:22">
      <c r="A254" s="63"/>
      <c r="B254" s="70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0"/>
      <c r="N254" s="80"/>
      <c r="O254" s="80"/>
      <c r="P254" s="80"/>
      <c r="Q254" s="80"/>
      <c r="R254" s="80"/>
      <c r="S254" s="80"/>
      <c r="T254" s="121"/>
      <c r="U254" s="122"/>
      <c r="V254" s="73"/>
    </row>
    <row r="255" spans="1:22">
      <c r="A255" s="63"/>
      <c r="B255" s="70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0"/>
      <c r="N255" s="80"/>
      <c r="O255" s="80"/>
      <c r="P255" s="80"/>
      <c r="Q255" s="80"/>
      <c r="R255" s="80"/>
      <c r="S255" s="80"/>
      <c r="T255" s="121"/>
      <c r="U255" s="122"/>
      <c r="V255" s="73"/>
    </row>
    <row r="256" spans="1:22">
      <c r="A256" s="63"/>
      <c r="B256" s="70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80"/>
      <c r="R256" s="80"/>
      <c r="S256" s="80"/>
      <c r="T256" s="121"/>
      <c r="U256" s="122"/>
      <c r="V256" s="73"/>
    </row>
    <row r="257" spans="1:22">
      <c r="A257" s="63"/>
      <c r="B257" s="70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0"/>
      <c r="N257" s="80"/>
      <c r="O257" s="80"/>
      <c r="P257" s="80"/>
      <c r="Q257" s="80"/>
      <c r="R257" s="80"/>
      <c r="S257" s="80"/>
      <c r="T257" s="121"/>
      <c r="U257" s="122"/>
      <c r="V257" s="73"/>
    </row>
    <row r="258" spans="1:22">
      <c r="A258" s="63"/>
      <c r="B258" s="70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0"/>
      <c r="N258" s="80"/>
      <c r="O258" s="80"/>
      <c r="P258" s="80"/>
      <c r="Q258" s="80"/>
      <c r="R258" s="80"/>
      <c r="S258" s="80"/>
      <c r="T258" s="121"/>
      <c r="U258" s="122"/>
      <c r="V258" s="73"/>
    </row>
    <row r="259" spans="1:22">
      <c r="A259" s="63"/>
      <c r="B259" s="70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  <c r="R259" s="80"/>
      <c r="S259" s="80"/>
      <c r="T259" s="121"/>
      <c r="U259" s="122"/>
      <c r="V259" s="73"/>
    </row>
    <row r="260" spans="1:22">
      <c r="A260" s="63"/>
      <c r="B260" s="70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  <c r="R260" s="80"/>
      <c r="S260" s="80"/>
      <c r="T260" s="121"/>
      <c r="U260" s="122"/>
      <c r="V260" s="73"/>
    </row>
    <row r="261" spans="1:22">
      <c r="A261" s="63"/>
      <c r="B261" s="70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121"/>
      <c r="U261" s="122"/>
      <c r="V261" s="73"/>
    </row>
    <row r="262" spans="1:22">
      <c r="A262" s="63"/>
      <c r="B262" s="70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0"/>
      <c r="N262" s="80"/>
      <c r="O262" s="80"/>
      <c r="P262" s="80"/>
      <c r="Q262" s="80"/>
      <c r="R262" s="80"/>
      <c r="S262" s="80"/>
      <c r="T262" s="121"/>
      <c r="U262" s="122"/>
      <c r="V262" s="73"/>
    </row>
    <row r="263" spans="1:22">
      <c r="A263" s="63"/>
      <c r="B263" s="70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0"/>
      <c r="N263" s="80"/>
      <c r="O263" s="80"/>
      <c r="P263" s="80"/>
      <c r="Q263" s="80"/>
      <c r="R263" s="80"/>
      <c r="S263" s="80"/>
      <c r="T263" s="121"/>
      <c r="U263" s="122"/>
      <c r="V263" s="73"/>
    </row>
    <row r="264" spans="1:22">
      <c r="A264" s="63"/>
      <c r="B264" s="70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0"/>
      <c r="N264" s="80"/>
      <c r="O264" s="80"/>
      <c r="P264" s="80"/>
      <c r="Q264" s="80"/>
      <c r="R264" s="80"/>
      <c r="S264" s="80"/>
      <c r="T264" s="121"/>
      <c r="U264" s="122"/>
      <c r="V264" s="73"/>
    </row>
    <row r="265" spans="1:22">
      <c r="A265" s="63"/>
      <c r="B265" s="70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  <c r="R265" s="80"/>
      <c r="S265" s="80"/>
      <c r="T265" s="121"/>
      <c r="U265" s="122"/>
      <c r="V265" s="73"/>
    </row>
    <row r="266" spans="1:22">
      <c r="A266" s="63"/>
      <c r="B266" s="70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0"/>
      <c r="N266" s="80"/>
      <c r="O266" s="80"/>
      <c r="P266" s="80"/>
      <c r="Q266" s="80"/>
      <c r="R266" s="80"/>
      <c r="S266" s="80"/>
      <c r="T266" s="121"/>
      <c r="U266" s="122"/>
      <c r="V266" s="73"/>
    </row>
    <row r="267" spans="1:22">
      <c r="A267" s="63"/>
      <c r="B267" s="70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0"/>
      <c r="S267" s="80"/>
      <c r="T267" s="121"/>
      <c r="U267" s="122"/>
      <c r="V267" s="73"/>
    </row>
    <row r="268" spans="1:22">
      <c r="A268" s="63"/>
      <c r="B268" s="70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0"/>
      <c r="N268" s="80"/>
      <c r="O268" s="80"/>
      <c r="P268" s="80"/>
      <c r="Q268" s="80"/>
      <c r="R268" s="80"/>
      <c r="S268" s="80"/>
      <c r="T268" s="121"/>
      <c r="U268" s="122"/>
      <c r="V268" s="73"/>
    </row>
    <row r="269" spans="1:22">
      <c r="A269" s="63"/>
      <c r="B269" s="70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80"/>
      <c r="R269" s="80"/>
      <c r="S269" s="80"/>
      <c r="T269" s="121"/>
      <c r="U269" s="122"/>
      <c r="V269" s="73"/>
    </row>
    <row r="270" spans="1:22">
      <c r="A270" s="63"/>
      <c r="B270" s="70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80"/>
      <c r="R270" s="80"/>
      <c r="S270" s="80"/>
      <c r="T270" s="121"/>
      <c r="U270" s="122"/>
      <c r="V270" s="73"/>
    </row>
    <row r="271" spans="1:22">
      <c r="A271" s="63"/>
      <c r="B271" s="70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0"/>
      <c r="S271" s="80"/>
      <c r="T271" s="121"/>
      <c r="U271" s="122"/>
      <c r="V271" s="73"/>
    </row>
    <row r="272" spans="1:22">
      <c r="A272" s="63"/>
      <c r="B272" s="70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  <c r="S272" s="80"/>
      <c r="T272" s="121"/>
      <c r="U272" s="122"/>
      <c r="V272" s="73"/>
    </row>
    <row r="273" spans="1:22">
      <c r="A273" s="63"/>
      <c r="B273" s="70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  <c r="S273" s="80"/>
      <c r="T273" s="121"/>
      <c r="U273" s="122"/>
      <c r="V273" s="73"/>
    </row>
    <row r="274" spans="1:22">
      <c r="A274" s="63"/>
      <c r="B274" s="70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  <c r="S274" s="80"/>
      <c r="T274" s="121"/>
      <c r="U274" s="122"/>
      <c r="V274" s="73"/>
    </row>
    <row r="275" spans="1:22">
      <c r="A275" s="63"/>
      <c r="B275" s="70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  <c r="S275" s="80"/>
      <c r="T275" s="121"/>
      <c r="U275" s="122"/>
      <c r="V275" s="73"/>
    </row>
    <row r="276" spans="1:22">
      <c r="A276" s="63"/>
      <c r="B276" s="70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  <c r="S276" s="80"/>
      <c r="T276" s="121"/>
      <c r="U276" s="122"/>
      <c r="V276" s="73"/>
    </row>
    <row r="277" spans="1:22">
      <c r="A277" s="63"/>
      <c r="B277" s="70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  <c r="S277" s="80"/>
      <c r="T277" s="121"/>
      <c r="U277" s="122"/>
      <c r="V277" s="73"/>
    </row>
    <row r="278" spans="1:22">
      <c r="A278" s="63"/>
      <c r="B278" s="70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  <c r="S278" s="80"/>
      <c r="T278" s="121"/>
      <c r="U278" s="122"/>
      <c r="V278" s="73"/>
    </row>
    <row r="279" spans="1:22">
      <c r="A279" s="63"/>
      <c r="B279" s="70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  <c r="S279" s="80"/>
      <c r="T279" s="121"/>
      <c r="U279" s="122"/>
      <c r="V279" s="73"/>
    </row>
    <row r="280" spans="1:22">
      <c r="A280" s="63"/>
      <c r="B280" s="70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80"/>
      <c r="R280" s="80"/>
      <c r="S280" s="80"/>
      <c r="T280" s="121"/>
      <c r="U280" s="122"/>
      <c r="V280" s="73"/>
    </row>
    <row r="281" spans="1:22">
      <c r="A281" s="63"/>
      <c r="B281" s="70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  <c r="S281" s="80"/>
      <c r="T281" s="121"/>
      <c r="U281" s="122"/>
      <c r="V281" s="73"/>
    </row>
    <row r="282" spans="1:22">
      <c r="A282" s="63"/>
      <c r="B282" s="70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0"/>
      <c r="N282" s="80"/>
      <c r="O282" s="80"/>
      <c r="P282" s="80"/>
      <c r="Q282" s="80"/>
      <c r="R282" s="80"/>
      <c r="S282" s="80"/>
      <c r="T282" s="121"/>
      <c r="U282" s="122"/>
      <c r="V282" s="73"/>
    </row>
    <row r="283" spans="1:22">
      <c r="A283" s="63"/>
      <c r="B283" s="70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80"/>
      <c r="R283" s="80"/>
      <c r="S283" s="80"/>
      <c r="T283" s="121"/>
      <c r="U283" s="122"/>
      <c r="V283" s="73"/>
    </row>
    <row r="284" spans="1:22">
      <c r="A284" s="63"/>
      <c r="B284" s="70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0"/>
      <c r="N284" s="80"/>
      <c r="O284" s="80"/>
      <c r="P284" s="80"/>
      <c r="Q284" s="80"/>
      <c r="R284" s="80"/>
      <c r="S284" s="80"/>
      <c r="T284" s="121"/>
      <c r="U284" s="122"/>
      <c r="V284" s="73"/>
    </row>
    <row r="285" spans="1:22">
      <c r="A285" s="63"/>
      <c r="B285" s="70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80"/>
      <c r="R285" s="80"/>
      <c r="S285" s="80"/>
      <c r="T285" s="121"/>
      <c r="U285" s="122"/>
      <c r="V285" s="73"/>
    </row>
    <row r="286" spans="1:22">
      <c r="A286" s="63"/>
      <c r="B286" s="70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  <c r="S286" s="80"/>
      <c r="T286" s="121"/>
      <c r="U286" s="122"/>
      <c r="V286" s="73"/>
    </row>
    <row r="287" spans="1:22">
      <c r="A287" s="63"/>
      <c r="B287" s="70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0"/>
      <c r="S287" s="80"/>
      <c r="T287" s="121"/>
      <c r="U287" s="122"/>
      <c r="V287" s="73"/>
    </row>
    <row r="288" spans="1:22">
      <c r="A288" s="63"/>
      <c r="B288" s="70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  <c r="R288" s="80"/>
      <c r="S288" s="80"/>
      <c r="T288" s="121"/>
      <c r="U288" s="122"/>
      <c r="V288" s="73"/>
    </row>
    <row r="289" spans="1:22">
      <c r="A289" s="63"/>
      <c r="B289" s="70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  <c r="S289" s="80"/>
      <c r="T289" s="121"/>
      <c r="U289" s="122"/>
      <c r="V289" s="73"/>
    </row>
    <row r="290" spans="1:22">
      <c r="A290" s="63"/>
      <c r="B290" s="70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  <c r="R290" s="80"/>
      <c r="S290" s="80"/>
      <c r="T290" s="121"/>
      <c r="U290" s="122"/>
      <c r="V290" s="73"/>
    </row>
    <row r="291" spans="1:22">
      <c r="A291" s="63"/>
      <c r="B291" s="70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80"/>
      <c r="T291" s="121"/>
      <c r="U291" s="122"/>
      <c r="V291" s="73"/>
    </row>
    <row r="292" spans="1:22">
      <c r="A292" s="63"/>
      <c r="B292" s="70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  <c r="R292" s="80"/>
      <c r="S292" s="80"/>
      <c r="T292" s="121"/>
      <c r="U292" s="122"/>
      <c r="V292" s="73"/>
    </row>
    <row r="293" spans="1:22">
      <c r="A293" s="63"/>
      <c r="B293" s="70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  <c r="R293" s="80"/>
      <c r="S293" s="80"/>
      <c r="T293" s="121"/>
      <c r="U293" s="122"/>
      <c r="V293" s="73"/>
    </row>
    <row r="294" spans="1:22">
      <c r="A294" s="63"/>
      <c r="B294" s="70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  <c r="R294" s="80"/>
      <c r="S294" s="80"/>
      <c r="T294" s="121"/>
      <c r="U294" s="122"/>
      <c r="V294" s="73"/>
    </row>
    <row r="295" spans="1:22">
      <c r="A295" s="63"/>
      <c r="B295" s="70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80"/>
      <c r="T295" s="121"/>
      <c r="U295" s="122"/>
      <c r="V295" s="73"/>
    </row>
    <row r="296" spans="1:22">
      <c r="A296" s="63"/>
      <c r="B296" s="70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/>
      <c r="O296" s="80"/>
      <c r="P296" s="80"/>
      <c r="Q296" s="80"/>
      <c r="R296" s="80"/>
      <c r="S296" s="80"/>
      <c r="T296" s="121"/>
      <c r="U296" s="122"/>
      <c r="V296" s="73"/>
    </row>
    <row r="297" spans="1:22">
      <c r="A297" s="63"/>
      <c r="B297" s="70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/>
      <c r="O297" s="80"/>
      <c r="P297" s="80"/>
      <c r="Q297" s="80"/>
      <c r="R297" s="80"/>
      <c r="S297" s="80"/>
      <c r="T297" s="121"/>
      <c r="U297" s="122"/>
      <c r="V297" s="73"/>
    </row>
    <row r="298" spans="1:22">
      <c r="A298" s="63"/>
      <c r="B298" s="70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/>
      <c r="O298" s="80"/>
      <c r="P298" s="80"/>
      <c r="Q298" s="80"/>
      <c r="R298" s="80"/>
      <c r="S298" s="80"/>
      <c r="T298" s="121"/>
      <c r="U298" s="122"/>
      <c r="V298" s="73"/>
    </row>
    <row r="299" spans="1:22">
      <c r="A299" s="63"/>
      <c r="B299" s="70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0"/>
      <c r="N299" s="80"/>
      <c r="O299" s="80"/>
      <c r="P299" s="80"/>
      <c r="Q299" s="80"/>
      <c r="R299" s="80"/>
      <c r="S299" s="80"/>
      <c r="T299" s="121"/>
      <c r="U299" s="122"/>
      <c r="V299" s="73"/>
    </row>
    <row r="300" spans="1:22">
      <c r="A300" s="63"/>
      <c r="B300" s="70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  <c r="R300" s="80"/>
      <c r="S300" s="80"/>
      <c r="T300" s="121"/>
      <c r="U300" s="122"/>
      <c r="V300" s="73"/>
    </row>
    <row r="301" spans="1:22">
      <c r="A301" s="63"/>
      <c r="B301" s="70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80"/>
      <c r="R301" s="80"/>
      <c r="S301" s="80"/>
      <c r="T301" s="121"/>
      <c r="U301" s="122"/>
      <c r="V301" s="73"/>
    </row>
    <row r="302" spans="1:22">
      <c r="A302" s="63"/>
      <c r="B302" s="70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0"/>
      <c r="N302" s="80"/>
      <c r="O302" s="80"/>
      <c r="P302" s="80"/>
      <c r="Q302" s="80"/>
      <c r="R302" s="80"/>
      <c r="S302" s="80"/>
      <c r="T302" s="121"/>
      <c r="U302" s="122"/>
      <c r="V302" s="73"/>
    </row>
    <row r="303" spans="1:22">
      <c r="A303" s="63"/>
      <c r="B303" s="70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  <c r="S303" s="80"/>
      <c r="T303" s="121"/>
      <c r="U303" s="122"/>
      <c r="V303" s="73"/>
    </row>
    <row r="304" spans="1:22">
      <c r="A304" s="63"/>
      <c r="B304" s="70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80"/>
      <c r="R304" s="80"/>
      <c r="S304" s="80"/>
      <c r="T304" s="121"/>
      <c r="U304" s="122"/>
      <c r="V304" s="73"/>
    </row>
    <row r="305" spans="1:22">
      <c r="A305" s="63"/>
      <c r="B305" s="70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80"/>
      <c r="R305" s="80"/>
      <c r="S305" s="80"/>
      <c r="T305" s="121"/>
      <c r="U305" s="122"/>
      <c r="V305" s="73"/>
    </row>
    <row r="306" spans="1:22">
      <c r="A306" s="63"/>
      <c r="B306" s="70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80"/>
      <c r="R306" s="80"/>
      <c r="S306" s="80"/>
      <c r="T306" s="121"/>
      <c r="U306" s="122"/>
      <c r="V306" s="73"/>
    </row>
    <row r="307" spans="1:22">
      <c r="A307" s="63"/>
      <c r="B307" s="70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0"/>
      <c r="S307" s="80"/>
      <c r="T307" s="121"/>
      <c r="U307" s="122"/>
      <c r="V307" s="73"/>
    </row>
    <row r="308" spans="1:22">
      <c r="A308" s="63"/>
      <c r="B308" s="70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0"/>
      <c r="N308" s="80"/>
      <c r="O308" s="80"/>
      <c r="P308" s="80"/>
      <c r="Q308" s="80"/>
      <c r="R308" s="80"/>
      <c r="S308" s="80"/>
      <c r="T308" s="121"/>
      <c r="U308" s="122"/>
      <c r="V308" s="73"/>
    </row>
    <row r="309" spans="1:22">
      <c r="A309" s="63"/>
      <c r="B309" s="70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  <c r="S309" s="80"/>
      <c r="T309" s="121"/>
      <c r="U309" s="122"/>
      <c r="V309" s="73"/>
    </row>
    <row r="310" spans="1:22">
      <c r="A310" s="63"/>
      <c r="B310" s="70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  <c r="O310" s="80"/>
      <c r="P310" s="80"/>
      <c r="Q310" s="80"/>
      <c r="R310" s="80"/>
      <c r="S310" s="80"/>
      <c r="T310" s="121"/>
      <c r="U310" s="122"/>
      <c r="V310" s="73"/>
    </row>
    <row r="311" spans="1:22">
      <c r="A311" s="63"/>
      <c r="B311" s="70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0"/>
      <c r="N311" s="80"/>
      <c r="O311" s="80"/>
      <c r="P311" s="80"/>
      <c r="Q311" s="80"/>
      <c r="R311" s="80"/>
      <c r="S311" s="80"/>
      <c r="T311" s="121"/>
      <c r="U311" s="122"/>
      <c r="V311" s="73"/>
    </row>
    <row r="312" spans="1:22">
      <c r="A312" s="63"/>
      <c r="B312" s="70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121"/>
      <c r="U312" s="122"/>
      <c r="V312" s="73"/>
    </row>
    <row r="313" spans="1:22">
      <c r="A313" s="63"/>
      <c r="B313" s="70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121"/>
      <c r="U313" s="122"/>
      <c r="V313" s="73"/>
    </row>
    <row r="314" spans="1:22">
      <c r="A314" s="63"/>
      <c r="B314" s="70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121"/>
      <c r="U314" s="122"/>
      <c r="V314" s="73"/>
    </row>
    <row r="315" spans="1:22">
      <c r="A315" s="63"/>
      <c r="B315" s="70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80"/>
      <c r="R315" s="80"/>
      <c r="S315" s="80"/>
      <c r="T315" s="121"/>
      <c r="U315" s="122"/>
      <c r="V315" s="73"/>
    </row>
    <row r="316" spans="1:22">
      <c r="A316" s="63"/>
      <c r="B316" s="70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80"/>
      <c r="R316" s="80"/>
      <c r="S316" s="80"/>
      <c r="T316" s="121"/>
      <c r="U316" s="122"/>
      <c r="V316" s="73"/>
    </row>
    <row r="317" spans="1:22">
      <c r="A317" s="63"/>
      <c r="B317" s="70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  <c r="S317" s="80"/>
      <c r="T317" s="121"/>
      <c r="U317" s="122"/>
      <c r="V317" s="73"/>
    </row>
    <row r="318" spans="1:22">
      <c r="A318" s="63"/>
      <c r="B318" s="70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80"/>
      <c r="R318" s="80"/>
      <c r="S318" s="80"/>
      <c r="T318" s="121"/>
      <c r="U318" s="122"/>
      <c r="V318" s="73"/>
    </row>
    <row r="319" spans="1:22">
      <c r="A319" s="63"/>
      <c r="B319" s="70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80"/>
      <c r="R319" s="80"/>
      <c r="S319" s="80"/>
      <c r="T319" s="121"/>
      <c r="U319" s="122"/>
      <c r="V319" s="73"/>
    </row>
    <row r="320" spans="1:22">
      <c r="A320" s="63"/>
      <c r="B320" s="70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80"/>
      <c r="R320" s="80"/>
      <c r="S320" s="80"/>
      <c r="T320" s="121"/>
      <c r="U320" s="122"/>
      <c r="V320" s="73"/>
    </row>
    <row r="321" spans="1:22">
      <c r="A321" s="63"/>
      <c r="B321" s="70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80"/>
      <c r="R321" s="80"/>
      <c r="S321" s="80"/>
      <c r="T321" s="121"/>
      <c r="U321" s="122"/>
      <c r="V321" s="73"/>
    </row>
    <row r="322" spans="1:22">
      <c r="A322" s="63"/>
      <c r="B322" s="70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80"/>
      <c r="R322" s="80"/>
      <c r="S322" s="80"/>
      <c r="T322" s="121"/>
      <c r="U322" s="122"/>
      <c r="V322" s="73"/>
    </row>
    <row r="323" spans="1:22">
      <c r="A323" s="63"/>
      <c r="B323" s="70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  <c r="S323" s="80"/>
      <c r="T323" s="121"/>
      <c r="U323" s="122"/>
      <c r="V323" s="73"/>
    </row>
    <row r="324" spans="1:22">
      <c r="A324" s="63"/>
      <c r="B324" s="70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80"/>
      <c r="R324" s="80"/>
      <c r="S324" s="80"/>
      <c r="T324" s="121"/>
      <c r="U324" s="122"/>
      <c r="V324" s="73"/>
    </row>
    <row r="325" spans="1:22">
      <c r="A325" s="63"/>
      <c r="B325" s="70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80"/>
      <c r="R325" s="80"/>
      <c r="S325" s="80"/>
      <c r="T325" s="121"/>
      <c r="U325" s="122"/>
      <c r="V325" s="73"/>
    </row>
    <row r="326" spans="1:22">
      <c r="A326" s="63"/>
      <c r="B326" s="70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80"/>
      <c r="R326" s="80"/>
      <c r="S326" s="80"/>
      <c r="T326" s="121"/>
      <c r="U326" s="122"/>
      <c r="V326" s="73"/>
    </row>
    <row r="327" spans="1:22">
      <c r="A327" s="63"/>
      <c r="B327" s="7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  <c r="S327" s="80"/>
      <c r="T327" s="121"/>
      <c r="U327" s="122"/>
      <c r="V327" s="73"/>
    </row>
    <row r="328" spans="1:22">
      <c r="A328" s="63"/>
      <c r="B328" s="70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  <c r="R328" s="80"/>
      <c r="S328" s="80"/>
      <c r="T328" s="121"/>
      <c r="U328" s="122"/>
      <c r="V328" s="73"/>
    </row>
    <row r="329" spans="1:22">
      <c r="A329" s="63"/>
      <c r="B329" s="70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  <c r="R329" s="80"/>
      <c r="S329" s="80"/>
      <c r="T329" s="121"/>
      <c r="U329" s="122"/>
      <c r="V329" s="73"/>
    </row>
    <row r="330" spans="1:22">
      <c r="A330" s="63"/>
      <c r="B330" s="70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  <c r="R330" s="80"/>
      <c r="S330" s="80"/>
      <c r="T330" s="121"/>
      <c r="U330" s="122"/>
      <c r="V330" s="73"/>
    </row>
    <row r="331" spans="1:22">
      <c r="A331" s="63"/>
      <c r="B331" s="70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  <c r="R331" s="80"/>
      <c r="S331" s="80"/>
      <c r="T331" s="121"/>
      <c r="U331" s="122"/>
      <c r="V331" s="73"/>
    </row>
    <row r="332" spans="1:22">
      <c r="A332" s="63"/>
      <c r="B332" s="7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  <c r="S332" s="80"/>
      <c r="T332" s="121"/>
      <c r="U332" s="122"/>
      <c r="V332" s="73"/>
    </row>
    <row r="333" spans="1:22">
      <c r="A333" s="63"/>
      <c r="B333" s="7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  <c r="S333" s="80"/>
      <c r="T333" s="121"/>
      <c r="U333" s="122"/>
      <c r="V333" s="73"/>
    </row>
    <row r="334" spans="1:22">
      <c r="A334" s="63"/>
      <c r="B334" s="70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80"/>
      <c r="R334" s="80"/>
      <c r="S334" s="80"/>
      <c r="T334" s="121"/>
      <c r="U334" s="122"/>
      <c r="V334" s="73"/>
    </row>
    <row r="335" spans="1:22">
      <c r="A335" s="63"/>
      <c r="B335" s="70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  <c r="S335" s="80"/>
      <c r="T335" s="121"/>
      <c r="U335" s="122"/>
      <c r="V335" s="73"/>
    </row>
    <row r="336" spans="1:22">
      <c r="A336" s="63"/>
      <c r="B336" s="70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80"/>
      <c r="Q336" s="80"/>
      <c r="R336" s="80"/>
      <c r="S336" s="80"/>
      <c r="T336" s="121"/>
      <c r="U336" s="122"/>
      <c r="V336" s="73"/>
    </row>
    <row r="337" spans="1:22">
      <c r="A337" s="63"/>
      <c r="B337" s="70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0"/>
      <c r="N337" s="80"/>
      <c r="O337" s="80"/>
      <c r="P337" s="80"/>
      <c r="Q337" s="80"/>
      <c r="R337" s="80"/>
      <c r="S337" s="80"/>
      <c r="T337" s="121"/>
      <c r="U337" s="122"/>
      <c r="V337" s="73"/>
    </row>
    <row r="338" spans="1:22">
      <c r="A338" s="63"/>
      <c r="B338" s="70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0"/>
      <c r="N338" s="80"/>
      <c r="O338" s="80"/>
      <c r="P338" s="80"/>
      <c r="Q338" s="80"/>
      <c r="R338" s="80"/>
      <c r="S338" s="80"/>
      <c r="T338" s="121"/>
      <c r="U338" s="122"/>
      <c r="V338" s="73"/>
    </row>
    <row r="339" spans="1:22">
      <c r="A339" s="63"/>
      <c r="B339" s="70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0"/>
      <c r="N339" s="80"/>
      <c r="O339" s="80"/>
      <c r="P339" s="80"/>
      <c r="Q339" s="80"/>
      <c r="R339" s="80"/>
      <c r="S339" s="80"/>
      <c r="T339" s="121"/>
      <c r="U339" s="122"/>
      <c r="V339" s="73"/>
    </row>
    <row r="340" spans="1:22">
      <c r="A340" s="63"/>
      <c r="B340" s="70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0"/>
      <c r="N340" s="80"/>
      <c r="O340" s="80"/>
      <c r="P340" s="80"/>
      <c r="Q340" s="80"/>
      <c r="R340" s="80"/>
      <c r="S340" s="80"/>
      <c r="T340" s="121"/>
      <c r="U340" s="122"/>
      <c r="V340" s="73"/>
    </row>
    <row r="341" spans="1:22">
      <c r="A341" s="63"/>
      <c r="B341" s="70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  <c r="S341" s="80"/>
      <c r="T341" s="121"/>
      <c r="U341" s="122"/>
      <c r="V341" s="73"/>
    </row>
    <row r="342" spans="1:22">
      <c r="A342" s="63"/>
      <c r="B342" s="70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  <c r="S342" s="80"/>
      <c r="T342" s="121"/>
      <c r="U342" s="122"/>
      <c r="V342" s="73"/>
    </row>
    <row r="343" spans="1:22">
      <c r="A343" s="63"/>
      <c r="B343" s="70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  <c r="S343" s="80"/>
      <c r="T343" s="121"/>
      <c r="U343" s="122"/>
      <c r="V343" s="73"/>
    </row>
    <row r="344" spans="1:22">
      <c r="A344" s="63"/>
      <c r="B344" s="70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80"/>
      <c r="T344" s="121"/>
      <c r="U344" s="122"/>
      <c r="V344" s="73"/>
    </row>
    <row r="345" spans="1:22">
      <c r="A345" s="63"/>
      <c r="B345" s="70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  <c r="S345" s="80"/>
      <c r="T345" s="121"/>
      <c r="U345" s="122"/>
      <c r="V345" s="73"/>
    </row>
    <row r="346" spans="1:22">
      <c r="A346" s="63"/>
      <c r="B346" s="70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  <c r="S346" s="80"/>
      <c r="T346" s="121"/>
      <c r="U346" s="122"/>
      <c r="V346" s="73"/>
    </row>
    <row r="347" spans="1:22">
      <c r="A347" s="63"/>
      <c r="B347" s="70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  <c r="S347" s="80"/>
      <c r="T347" s="121"/>
      <c r="U347" s="122"/>
      <c r="V347" s="73"/>
    </row>
    <row r="348" spans="1:22">
      <c r="A348" s="63"/>
      <c r="B348" s="7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121"/>
      <c r="U348" s="122"/>
      <c r="V348" s="73"/>
    </row>
    <row r="349" spans="1:22">
      <c r="A349" s="63"/>
      <c r="B349" s="70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80"/>
      <c r="T349" s="121"/>
      <c r="U349" s="122"/>
      <c r="V349" s="73"/>
    </row>
    <row r="350" spans="1:22">
      <c r="A350" s="63"/>
      <c r="B350" s="70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  <c r="S350" s="80"/>
      <c r="T350" s="121"/>
      <c r="U350" s="122"/>
      <c r="V350" s="73"/>
    </row>
    <row r="351" spans="1:22">
      <c r="A351" s="63"/>
      <c r="B351" s="70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  <c r="S351" s="80"/>
      <c r="T351" s="121"/>
      <c r="U351" s="122"/>
      <c r="V351" s="73"/>
    </row>
    <row r="352" spans="1:22">
      <c r="A352" s="63"/>
      <c r="B352" s="70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  <c r="S352" s="80"/>
      <c r="T352" s="121"/>
      <c r="U352" s="122"/>
      <c r="V352" s="73"/>
    </row>
    <row r="353" spans="1:22">
      <c r="A353" s="63"/>
      <c r="B353" s="70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  <c r="S353" s="80"/>
      <c r="T353" s="121"/>
      <c r="U353" s="122"/>
      <c r="V353" s="73"/>
    </row>
    <row r="354" spans="1:22">
      <c r="A354" s="63"/>
      <c r="B354" s="70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  <c r="S354" s="80"/>
      <c r="T354" s="121"/>
      <c r="U354" s="122"/>
      <c r="V354" s="73"/>
    </row>
    <row r="355" spans="1:22">
      <c r="A355" s="63"/>
      <c r="B355" s="70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  <c r="S355" s="80"/>
      <c r="T355" s="121"/>
      <c r="U355" s="122"/>
      <c r="V355" s="73"/>
    </row>
    <row r="356" spans="1:22">
      <c r="A356" s="63"/>
      <c r="B356" s="70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80"/>
      <c r="T356" s="121"/>
      <c r="U356" s="122"/>
      <c r="V356" s="73"/>
    </row>
    <row r="357" spans="1:22">
      <c r="A357" s="63"/>
      <c r="B357" s="70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  <c r="S357" s="80"/>
      <c r="T357" s="121"/>
      <c r="U357" s="122"/>
      <c r="V357" s="73"/>
    </row>
    <row r="358" spans="1:22">
      <c r="A358" s="63"/>
      <c r="B358" s="70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  <c r="S358" s="80"/>
      <c r="T358" s="121"/>
      <c r="U358" s="122"/>
      <c r="V358" s="73"/>
    </row>
    <row r="359" spans="1:22">
      <c r="A359" s="63"/>
      <c r="B359" s="70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  <c r="S359" s="80"/>
      <c r="T359" s="121"/>
      <c r="U359" s="122"/>
      <c r="V359" s="73"/>
    </row>
    <row r="360" spans="1:22">
      <c r="A360" s="63"/>
      <c r="B360" s="70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80"/>
      <c r="T360" s="121"/>
      <c r="U360" s="122"/>
      <c r="V360" s="73"/>
    </row>
    <row r="361" spans="1:22">
      <c r="A361" s="63"/>
      <c r="B361" s="70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  <c r="S361" s="80"/>
      <c r="T361" s="121"/>
      <c r="U361" s="122"/>
      <c r="V361" s="73"/>
    </row>
    <row r="362" spans="1:22">
      <c r="A362" s="63"/>
      <c r="B362" s="70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  <c r="S362" s="80"/>
      <c r="T362" s="121"/>
      <c r="U362" s="122"/>
      <c r="V362" s="73"/>
    </row>
    <row r="363" spans="1:22">
      <c r="A363" s="63"/>
      <c r="B363" s="70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  <c r="S363" s="80"/>
      <c r="T363" s="121"/>
      <c r="U363" s="122"/>
      <c r="V363" s="73"/>
    </row>
    <row r="364" spans="1:22">
      <c r="A364" s="63"/>
      <c r="B364" s="70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  <c r="S364" s="80"/>
      <c r="T364" s="121"/>
      <c r="U364" s="122"/>
      <c r="V364" s="73"/>
    </row>
    <row r="365" spans="1:22">
      <c r="A365" s="63"/>
      <c r="B365" s="70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80"/>
      <c r="T365" s="121"/>
      <c r="U365" s="122"/>
      <c r="V365" s="73"/>
    </row>
    <row r="366" spans="1:22">
      <c r="A366" s="63"/>
      <c r="B366" s="70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  <c r="S366" s="80"/>
      <c r="T366" s="121"/>
      <c r="U366" s="122"/>
      <c r="V366" s="73"/>
    </row>
    <row r="367" spans="1:22">
      <c r="A367" s="63"/>
      <c r="B367" s="70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0"/>
      <c r="S367" s="80"/>
      <c r="T367" s="121"/>
      <c r="U367" s="122"/>
      <c r="V367" s="73"/>
    </row>
    <row r="368" spans="1:22">
      <c r="A368" s="63"/>
      <c r="B368" s="70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  <c r="S368" s="80"/>
      <c r="T368" s="121"/>
      <c r="U368" s="122"/>
      <c r="V368" s="73"/>
    </row>
    <row r="369" spans="1:22">
      <c r="A369" s="63"/>
      <c r="B369" s="70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80"/>
      <c r="R369" s="80"/>
      <c r="S369" s="80"/>
      <c r="T369" s="121"/>
      <c r="U369" s="122"/>
      <c r="V369" s="73"/>
    </row>
    <row r="370" spans="1:22">
      <c r="A370" s="63"/>
      <c r="B370" s="70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80"/>
      <c r="R370" s="80"/>
      <c r="S370" s="80"/>
      <c r="T370" s="121"/>
      <c r="U370" s="122"/>
      <c r="V370" s="73"/>
    </row>
    <row r="371" spans="1:22">
      <c r="A371" s="63"/>
      <c r="B371" s="70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80"/>
      <c r="R371" s="80"/>
      <c r="S371" s="80"/>
      <c r="T371" s="121"/>
      <c r="U371" s="122"/>
      <c r="V371" s="73"/>
    </row>
    <row r="372" spans="1:22">
      <c r="A372" s="63"/>
      <c r="B372" s="70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80"/>
      <c r="R372" s="80"/>
      <c r="S372" s="80"/>
      <c r="T372" s="121"/>
      <c r="U372" s="122"/>
      <c r="V372" s="73"/>
    </row>
    <row r="373" spans="1:22">
      <c r="A373" s="63"/>
      <c r="B373" s="70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80"/>
      <c r="R373" s="80"/>
      <c r="S373" s="80"/>
      <c r="T373" s="121"/>
      <c r="U373" s="122"/>
      <c r="V373" s="73"/>
    </row>
    <row r="374" spans="1:22">
      <c r="A374" s="63"/>
      <c r="B374" s="70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80"/>
      <c r="R374" s="80"/>
      <c r="S374" s="80"/>
      <c r="T374" s="121"/>
      <c r="U374" s="122"/>
      <c r="V374" s="73"/>
    </row>
    <row r="375" spans="1:22">
      <c r="A375" s="63"/>
      <c r="B375" s="70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0"/>
      <c r="N375" s="80"/>
      <c r="O375" s="80"/>
      <c r="P375" s="80"/>
      <c r="Q375" s="80"/>
      <c r="R375" s="80"/>
      <c r="S375" s="80"/>
      <c r="T375" s="121"/>
      <c r="U375" s="122"/>
      <c r="V375" s="73"/>
    </row>
    <row r="376" spans="1:22">
      <c r="A376" s="63"/>
      <c r="B376" s="70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0"/>
      <c r="N376" s="80"/>
      <c r="O376" s="80"/>
      <c r="P376" s="80"/>
      <c r="Q376" s="80"/>
      <c r="R376" s="80"/>
      <c r="S376" s="80"/>
      <c r="T376" s="121"/>
      <c r="U376" s="122"/>
      <c r="V376" s="73"/>
    </row>
    <row r="377" spans="1:22">
      <c r="A377" s="63"/>
      <c r="B377" s="70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0"/>
      <c r="N377" s="80"/>
      <c r="O377" s="80"/>
      <c r="P377" s="80"/>
      <c r="Q377" s="80"/>
      <c r="R377" s="80"/>
      <c r="S377" s="80"/>
      <c r="T377" s="121"/>
      <c r="U377" s="122"/>
      <c r="V377" s="73"/>
    </row>
    <row r="378" spans="1:22">
      <c r="A378" s="63"/>
      <c r="B378" s="70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0"/>
      <c r="N378" s="80"/>
      <c r="O378" s="80"/>
      <c r="P378" s="80"/>
      <c r="Q378" s="80"/>
      <c r="R378" s="80"/>
      <c r="S378" s="80"/>
      <c r="T378" s="121"/>
      <c r="U378" s="122"/>
      <c r="V378" s="73"/>
    </row>
    <row r="379" spans="1:22">
      <c r="A379" s="63"/>
      <c r="B379" s="70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0"/>
      <c r="N379" s="80"/>
      <c r="O379" s="80"/>
      <c r="P379" s="80"/>
      <c r="Q379" s="80"/>
      <c r="R379" s="80"/>
      <c r="S379" s="80"/>
      <c r="T379" s="121"/>
      <c r="U379" s="122"/>
      <c r="V379" s="73"/>
    </row>
    <row r="380" spans="1:22">
      <c r="A380" s="63"/>
      <c r="B380" s="70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  <c r="N380" s="80"/>
      <c r="O380" s="80"/>
      <c r="P380" s="80"/>
      <c r="Q380" s="80"/>
      <c r="R380" s="80"/>
      <c r="S380" s="80"/>
      <c r="T380" s="121"/>
      <c r="U380" s="122"/>
      <c r="V380" s="73"/>
    </row>
    <row r="381" spans="1:22">
      <c r="A381" s="63"/>
      <c r="B381" s="70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0"/>
      <c r="N381" s="80"/>
      <c r="O381" s="80"/>
      <c r="P381" s="80"/>
      <c r="Q381" s="80"/>
      <c r="R381" s="80"/>
      <c r="S381" s="80"/>
      <c r="T381" s="121"/>
      <c r="U381" s="122"/>
      <c r="V381" s="73"/>
    </row>
    <row r="382" spans="1:22">
      <c r="A382" s="63"/>
      <c r="B382" s="70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0"/>
      <c r="N382" s="80"/>
      <c r="O382" s="80"/>
      <c r="P382" s="80"/>
      <c r="Q382" s="80"/>
      <c r="R382" s="80"/>
      <c r="S382" s="80"/>
      <c r="T382" s="121"/>
      <c r="U382" s="122"/>
      <c r="V382" s="73"/>
    </row>
    <row r="383" spans="1:22">
      <c r="A383" s="63"/>
      <c r="B383" s="70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80"/>
      <c r="R383" s="80"/>
      <c r="S383" s="80"/>
      <c r="T383" s="121"/>
      <c r="U383" s="122"/>
      <c r="V383" s="73"/>
    </row>
    <row r="384" spans="1:22">
      <c r="A384" s="63"/>
      <c r="B384" s="70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80"/>
      <c r="R384" s="80"/>
      <c r="S384" s="80"/>
      <c r="T384" s="121"/>
      <c r="U384" s="122"/>
      <c r="V384" s="73"/>
    </row>
    <row r="385" spans="1:22">
      <c r="A385" s="63"/>
      <c r="B385" s="70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0"/>
      <c r="N385" s="80"/>
      <c r="O385" s="80"/>
      <c r="P385" s="80"/>
      <c r="Q385" s="80"/>
      <c r="R385" s="80"/>
      <c r="S385" s="80"/>
      <c r="T385" s="121"/>
      <c r="U385" s="122"/>
      <c r="V385" s="73"/>
    </row>
    <row r="386" spans="1:22">
      <c r="A386" s="63"/>
      <c r="B386" s="70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0"/>
      <c r="N386" s="80"/>
      <c r="O386" s="80"/>
      <c r="P386" s="80"/>
      <c r="Q386" s="80"/>
      <c r="R386" s="80"/>
      <c r="S386" s="80"/>
      <c r="T386" s="121"/>
      <c r="U386" s="122"/>
      <c r="V386" s="73"/>
    </row>
    <row r="387" spans="1:22">
      <c r="A387" s="63"/>
      <c r="B387" s="70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0"/>
      <c r="S387" s="80"/>
      <c r="T387" s="121"/>
      <c r="U387" s="122"/>
      <c r="V387" s="73"/>
    </row>
    <row r="388" spans="1:22">
      <c r="A388" s="63"/>
      <c r="B388" s="70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  <c r="S388" s="80"/>
      <c r="T388" s="121"/>
      <c r="U388" s="122"/>
      <c r="V388" s="73"/>
    </row>
    <row r="389" spans="1:22">
      <c r="A389" s="63"/>
      <c r="B389" s="7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  <c r="S389" s="80"/>
      <c r="T389" s="121"/>
      <c r="U389" s="122"/>
      <c r="V389" s="73"/>
    </row>
    <row r="390" spans="1:22">
      <c r="A390" s="63"/>
      <c r="B390" s="7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121"/>
      <c r="U390" s="122"/>
      <c r="V390" s="73"/>
    </row>
    <row r="391" spans="1:22">
      <c r="A391" s="63"/>
      <c r="B391" s="7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121"/>
      <c r="U391" s="122"/>
      <c r="V391" s="73"/>
    </row>
    <row r="392" spans="1:22">
      <c r="A392" s="63"/>
      <c r="B392" s="7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121"/>
      <c r="U392" s="122"/>
      <c r="V392" s="73"/>
    </row>
    <row r="393" spans="1:22">
      <c r="A393" s="63"/>
      <c r="B393" s="7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121"/>
      <c r="U393" s="122"/>
      <c r="V393" s="73"/>
    </row>
    <row r="394" spans="1:22">
      <c r="A394" s="63"/>
      <c r="B394" s="7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121"/>
      <c r="U394" s="122"/>
      <c r="V394" s="73"/>
    </row>
    <row r="395" spans="1:22">
      <c r="A395" s="63"/>
      <c r="B395" s="7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121"/>
      <c r="U395" s="122"/>
      <c r="V395" s="73"/>
    </row>
    <row r="396" spans="1:22">
      <c r="A396" s="63"/>
      <c r="B396" s="7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121"/>
      <c r="U396" s="122"/>
      <c r="V396" s="73"/>
    </row>
    <row r="397" spans="1:22">
      <c r="A397" s="63"/>
      <c r="B397" s="7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121"/>
      <c r="U397" s="122"/>
      <c r="V397" s="73"/>
    </row>
    <row r="398" spans="1:22">
      <c r="A398" s="63"/>
      <c r="B398" s="7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121"/>
      <c r="U398" s="122"/>
      <c r="V398" s="73"/>
    </row>
    <row r="399" spans="1:22">
      <c r="A399" s="63"/>
      <c r="B399" s="7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121"/>
      <c r="U399" s="122"/>
      <c r="V399" s="73"/>
    </row>
    <row r="400" spans="1:22">
      <c r="A400" s="63"/>
      <c r="B400" s="7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121"/>
      <c r="U400" s="122"/>
      <c r="V400" s="73"/>
    </row>
    <row r="401" spans="1:22">
      <c r="A401" s="63"/>
      <c r="B401" s="7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121"/>
      <c r="U401" s="122"/>
      <c r="V401" s="73"/>
    </row>
    <row r="402" spans="1:22">
      <c r="A402" s="63"/>
      <c r="B402" s="7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121"/>
      <c r="U402" s="122"/>
      <c r="V402" s="73"/>
    </row>
    <row r="403" spans="1:22">
      <c r="A403" s="63"/>
      <c r="B403" s="7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121"/>
      <c r="U403" s="122"/>
      <c r="V403" s="73"/>
    </row>
    <row r="404" spans="1:22">
      <c r="A404" s="63"/>
      <c r="B404" s="7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121"/>
      <c r="U404" s="122"/>
      <c r="V404" s="73"/>
    </row>
    <row r="405" spans="1:22">
      <c r="A405" s="63"/>
      <c r="B405" s="7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121"/>
      <c r="U405" s="122"/>
      <c r="V405" s="73"/>
    </row>
    <row r="406" spans="1:22">
      <c r="A406" s="63"/>
      <c r="B406" s="7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121"/>
      <c r="U406" s="122"/>
      <c r="V406" s="73"/>
    </row>
    <row r="407" spans="1:22">
      <c r="A407" s="63"/>
      <c r="B407" s="7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121"/>
      <c r="U407" s="122"/>
      <c r="V407" s="73"/>
    </row>
    <row r="408" spans="1:22">
      <c r="A408" s="63"/>
      <c r="B408" s="7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121"/>
      <c r="U408" s="122"/>
      <c r="V408" s="73"/>
    </row>
    <row r="409" spans="1:22">
      <c r="A409" s="63"/>
      <c r="B409" s="7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121"/>
      <c r="U409" s="122"/>
      <c r="V409" s="73"/>
    </row>
    <row r="410" spans="1:22">
      <c r="A410" s="63"/>
      <c r="B410" s="7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121"/>
      <c r="U410" s="122"/>
      <c r="V410" s="73"/>
    </row>
    <row r="411" spans="1:22">
      <c r="A411" s="63"/>
      <c r="B411" s="7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121"/>
      <c r="U411" s="122"/>
      <c r="V411" s="73"/>
    </row>
    <row r="412" spans="1:22">
      <c r="A412" s="63"/>
      <c r="B412" s="7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121"/>
      <c r="U412" s="122"/>
      <c r="V412" s="73"/>
    </row>
    <row r="413" spans="1:22">
      <c r="A413" s="63"/>
      <c r="B413" s="7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121"/>
      <c r="U413" s="122"/>
      <c r="V413" s="73"/>
    </row>
    <row r="414" spans="1:22">
      <c r="A414" s="63"/>
      <c r="B414" s="7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121"/>
      <c r="U414" s="122"/>
      <c r="V414" s="73"/>
    </row>
    <row r="415" spans="1:22">
      <c r="A415" s="63"/>
      <c r="B415" s="7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121"/>
      <c r="U415" s="122"/>
      <c r="V415" s="73"/>
    </row>
    <row r="416" spans="1:22">
      <c r="A416" s="63"/>
      <c r="B416" s="7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121"/>
      <c r="U416" s="122"/>
      <c r="V416" s="73"/>
    </row>
    <row r="417" spans="1:22">
      <c r="A417" s="63"/>
      <c r="B417" s="7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121"/>
      <c r="U417" s="122"/>
      <c r="V417" s="73"/>
    </row>
    <row r="418" spans="1:22">
      <c r="A418" s="63"/>
      <c r="B418" s="7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121"/>
      <c r="U418" s="122"/>
      <c r="V418" s="73"/>
    </row>
    <row r="419" spans="1:22">
      <c r="A419" s="63"/>
      <c r="B419" s="7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121"/>
      <c r="U419" s="122"/>
      <c r="V419" s="73"/>
    </row>
    <row r="420" spans="1:22">
      <c r="A420" s="63"/>
      <c r="B420" s="7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121"/>
      <c r="U420" s="122"/>
      <c r="V420" s="73"/>
    </row>
    <row r="421" spans="1:22">
      <c r="A421" s="63"/>
      <c r="B421" s="7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121"/>
      <c r="U421" s="122"/>
      <c r="V421" s="73"/>
    </row>
    <row r="422" spans="1:22">
      <c r="A422" s="63"/>
      <c r="B422" s="7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121"/>
      <c r="U422" s="122"/>
      <c r="V422" s="73"/>
    </row>
    <row r="423" spans="1:22">
      <c r="A423" s="63"/>
      <c r="B423" s="7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121"/>
      <c r="U423" s="122"/>
      <c r="V423" s="73"/>
    </row>
    <row r="424" spans="1:22">
      <c r="A424" s="63"/>
      <c r="B424" s="7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121"/>
      <c r="U424" s="122"/>
      <c r="V424" s="73"/>
    </row>
    <row r="425" spans="1:22">
      <c r="A425" s="63"/>
      <c r="B425" s="7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121"/>
      <c r="U425" s="122"/>
      <c r="V425" s="73"/>
    </row>
    <row r="426" spans="1:22">
      <c r="A426" s="63"/>
      <c r="B426" s="7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121"/>
      <c r="U426" s="122"/>
      <c r="V426" s="73"/>
    </row>
    <row r="427" spans="1:22">
      <c r="A427" s="63"/>
      <c r="B427" s="7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121"/>
      <c r="U427" s="122"/>
      <c r="V427" s="73"/>
    </row>
    <row r="428" spans="1:22">
      <c r="A428" s="63"/>
      <c r="B428" s="7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121"/>
      <c r="U428" s="122"/>
      <c r="V428" s="73"/>
    </row>
    <row r="429" spans="1:22">
      <c r="A429" s="63"/>
      <c r="B429" s="7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121"/>
      <c r="U429" s="122"/>
      <c r="V429" s="73"/>
    </row>
    <row r="430" spans="1:22">
      <c r="A430" s="63"/>
      <c r="B430" s="7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121"/>
      <c r="U430" s="122"/>
      <c r="V430" s="73"/>
    </row>
    <row r="431" spans="1:22">
      <c r="A431" s="63"/>
      <c r="B431" s="7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121"/>
      <c r="U431" s="122"/>
      <c r="V431" s="73"/>
    </row>
    <row r="432" spans="1:22">
      <c r="A432" s="63"/>
      <c r="B432" s="7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121"/>
      <c r="U432" s="122"/>
      <c r="V432" s="73"/>
    </row>
    <row r="433" spans="1:22">
      <c r="A433" s="63"/>
      <c r="B433" s="7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121"/>
      <c r="U433" s="122"/>
      <c r="V433" s="73"/>
    </row>
    <row r="434" spans="1:22">
      <c r="A434" s="63"/>
      <c r="B434" s="7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121"/>
      <c r="U434" s="122"/>
      <c r="V434" s="73"/>
    </row>
    <row r="435" spans="1:22">
      <c r="A435" s="63"/>
      <c r="B435" s="7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121"/>
      <c r="U435" s="122"/>
      <c r="V435" s="73"/>
    </row>
    <row r="436" spans="1:22">
      <c r="A436" s="63"/>
      <c r="B436" s="7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121"/>
      <c r="U436" s="122"/>
      <c r="V436" s="73"/>
    </row>
    <row r="437" spans="1:22">
      <c r="A437" s="63"/>
      <c r="B437" s="7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121"/>
      <c r="U437" s="122"/>
      <c r="V437" s="73"/>
    </row>
    <row r="438" spans="1:22">
      <c r="A438" s="63"/>
      <c r="B438" s="7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121"/>
      <c r="U438" s="122"/>
      <c r="V438" s="73"/>
    </row>
    <row r="439" spans="1:22">
      <c r="A439" s="63"/>
      <c r="B439" s="7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121"/>
      <c r="U439" s="122"/>
      <c r="V439" s="73"/>
    </row>
    <row r="440" spans="1:22">
      <c r="A440" s="63"/>
      <c r="B440" s="7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121"/>
      <c r="U440" s="122"/>
      <c r="V440" s="73"/>
    </row>
    <row r="441" spans="1:22">
      <c r="A441" s="63"/>
      <c r="B441" s="7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121"/>
      <c r="U441" s="122"/>
      <c r="V441" s="73"/>
    </row>
    <row r="442" spans="1:22">
      <c r="A442" s="63"/>
      <c r="B442" s="7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121"/>
      <c r="U442" s="122"/>
      <c r="V442" s="73"/>
    </row>
    <row r="443" spans="1:22">
      <c r="A443" s="63"/>
      <c r="B443" s="7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121"/>
      <c r="U443" s="122"/>
      <c r="V443" s="73"/>
    </row>
    <row r="444" spans="1:22">
      <c r="A444" s="63"/>
      <c r="B444" s="7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121"/>
      <c r="U444" s="122"/>
      <c r="V444" s="73"/>
    </row>
    <row r="445" spans="1:22">
      <c r="A445" s="63"/>
      <c r="B445" s="7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121"/>
      <c r="U445" s="122"/>
      <c r="V445" s="73"/>
    </row>
    <row r="446" spans="1:22">
      <c r="A446" s="63"/>
      <c r="B446" s="7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121"/>
      <c r="U446" s="122"/>
      <c r="V446" s="73"/>
    </row>
    <row r="447" spans="1:22">
      <c r="A447" s="63"/>
      <c r="B447" s="7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121"/>
      <c r="U447" s="122"/>
      <c r="V447" s="73"/>
    </row>
    <row r="448" spans="1:22">
      <c r="A448" s="63"/>
      <c r="B448" s="7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121"/>
      <c r="U448" s="122"/>
      <c r="V448" s="73"/>
    </row>
    <row r="449" spans="1:22">
      <c r="A449" s="63"/>
      <c r="B449" s="7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121"/>
      <c r="U449" s="122"/>
      <c r="V449" s="73"/>
    </row>
    <row r="450" spans="1:22">
      <c r="A450" s="63"/>
      <c r="B450" s="7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121"/>
      <c r="U450" s="122"/>
      <c r="V450" s="73"/>
    </row>
    <row r="451" spans="1:22">
      <c r="A451" s="63"/>
      <c r="B451" s="7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121"/>
      <c r="U451" s="122"/>
      <c r="V451" s="73"/>
    </row>
    <row r="452" spans="1:22">
      <c r="A452" s="63"/>
      <c r="B452" s="7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121"/>
      <c r="U452" s="122"/>
      <c r="V452" s="73"/>
    </row>
    <row r="453" spans="1:22">
      <c r="A453" s="63"/>
      <c r="B453" s="7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121"/>
      <c r="U453" s="122"/>
      <c r="V453" s="73"/>
    </row>
    <row r="454" spans="1:22">
      <c r="A454" s="63"/>
      <c r="B454" s="7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121"/>
      <c r="U454" s="122"/>
      <c r="V454" s="73"/>
    </row>
    <row r="455" spans="1:22">
      <c r="A455" s="63"/>
      <c r="B455" s="7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121"/>
      <c r="U455" s="122"/>
      <c r="V455" s="73"/>
    </row>
    <row r="456" spans="1:22">
      <c r="A456" s="63"/>
      <c r="B456" s="7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121"/>
      <c r="U456" s="122"/>
      <c r="V456" s="73"/>
    </row>
    <row r="457" spans="1:22">
      <c r="A457" s="63"/>
      <c r="B457" s="7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121"/>
      <c r="U457" s="122"/>
      <c r="V457" s="73"/>
    </row>
    <row r="458" spans="1:22">
      <c r="A458" s="63"/>
      <c r="B458" s="7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121"/>
      <c r="U458" s="122"/>
      <c r="V458" s="73"/>
    </row>
    <row r="459" spans="1:22">
      <c r="A459" s="63"/>
      <c r="B459" s="7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121"/>
      <c r="U459" s="122"/>
      <c r="V459" s="73"/>
    </row>
    <row r="460" spans="1:22">
      <c r="A460" s="63"/>
      <c r="B460" s="7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121"/>
      <c r="U460" s="122"/>
      <c r="V460" s="73"/>
    </row>
    <row r="461" spans="1:22">
      <c r="A461" s="63"/>
      <c r="B461" s="7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121"/>
      <c r="U461" s="122"/>
      <c r="V461" s="73"/>
    </row>
    <row r="462" spans="1:22">
      <c r="A462" s="63"/>
      <c r="B462" s="7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121"/>
      <c r="U462" s="122"/>
      <c r="V462" s="73"/>
    </row>
    <row r="463" spans="1:22">
      <c r="A463" s="63"/>
      <c r="B463" s="7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121"/>
      <c r="U463" s="122"/>
      <c r="V463" s="73"/>
    </row>
    <row r="464" spans="1:22">
      <c r="A464" s="63"/>
      <c r="B464" s="7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121"/>
      <c r="U464" s="122"/>
      <c r="V464" s="73"/>
    </row>
    <row r="465" spans="1:22">
      <c r="A465" s="63"/>
      <c r="B465" s="7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121"/>
      <c r="U465" s="122"/>
      <c r="V465" s="73"/>
    </row>
    <row r="466" spans="1:22">
      <c r="A466" s="63"/>
      <c r="B466" s="7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121"/>
      <c r="U466" s="122"/>
      <c r="V466" s="73"/>
    </row>
    <row r="467" spans="1:22">
      <c r="A467" s="63"/>
      <c r="B467" s="7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121"/>
      <c r="U467" s="122"/>
      <c r="V467" s="73"/>
    </row>
    <row r="468" spans="1:22">
      <c r="A468" s="63"/>
      <c r="B468" s="7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121"/>
      <c r="U468" s="122"/>
      <c r="V468" s="73"/>
    </row>
    <row r="469" spans="1:22">
      <c r="A469" s="63"/>
      <c r="B469" s="7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121"/>
      <c r="U469" s="122"/>
      <c r="V469" s="73"/>
    </row>
    <row r="470" spans="1:22">
      <c r="A470" s="63"/>
      <c r="B470" s="7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121"/>
      <c r="U470" s="122"/>
      <c r="V470" s="73"/>
    </row>
    <row r="471" spans="1:22">
      <c r="A471" s="63"/>
      <c r="B471" s="7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121"/>
      <c r="U471" s="122"/>
      <c r="V471" s="73"/>
    </row>
    <row r="472" spans="1:22">
      <c r="A472" s="63"/>
      <c r="B472" s="7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121"/>
      <c r="U472" s="122"/>
      <c r="V472" s="73"/>
    </row>
    <row r="473" spans="1:22">
      <c r="A473" s="63"/>
      <c r="B473" s="7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121"/>
      <c r="U473" s="122"/>
      <c r="V473" s="73"/>
    </row>
    <row r="474" spans="1:22">
      <c r="A474" s="63"/>
      <c r="B474" s="7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121"/>
      <c r="U474" s="122"/>
      <c r="V474" s="73"/>
    </row>
    <row r="475" spans="1:22">
      <c r="A475" s="63"/>
      <c r="B475" s="7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121"/>
      <c r="U475" s="122"/>
      <c r="V475" s="73"/>
    </row>
    <row r="476" spans="1:22">
      <c r="A476" s="63"/>
      <c r="B476" s="7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121"/>
      <c r="U476" s="122"/>
      <c r="V476" s="73"/>
    </row>
    <row r="477" spans="1:22">
      <c r="A477" s="63"/>
      <c r="B477" s="7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121"/>
      <c r="U477" s="122"/>
      <c r="V477" s="73"/>
    </row>
    <row r="478" spans="1:22">
      <c r="A478" s="63"/>
      <c r="B478" s="7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121"/>
      <c r="U478" s="122"/>
      <c r="V478" s="73"/>
    </row>
    <row r="479" spans="1:22">
      <c r="A479" s="63"/>
      <c r="B479" s="7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121"/>
      <c r="U479" s="122"/>
      <c r="V479" s="73"/>
    </row>
    <row r="480" spans="1:22">
      <c r="A480" s="63"/>
      <c r="B480" s="7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121"/>
      <c r="U480" s="122"/>
      <c r="V480" s="73"/>
    </row>
    <row r="481" spans="1:22">
      <c r="A481" s="63"/>
      <c r="B481" s="7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121"/>
      <c r="U481" s="122"/>
      <c r="V481" s="73"/>
    </row>
    <row r="482" spans="1:22">
      <c r="A482" s="63"/>
      <c r="B482" s="7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121"/>
      <c r="U482" s="122"/>
      <c r="V482" s="73"/>
    </row>
    <row r="483" spans="1:22">
      <c r="A483" s="63"/>
      <c r="B483" s="7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121"/>
      <c r="U483" s="122"/>
      <c r="V483" s="73"/>
    </row>
    <row r="484" spans="1:22">
      <c r="A484" s="63"/>
      <c r="B484" s="7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121"/>
      <c r="U484" s="122"/>
      <c r="V484" s="73"/>
    </row>
    <row r="485" spans="1:22">
      <c r="A485" s="63"/>
      <c r="B485" s="7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121"/>
      <c r="U485" s="122"/>
      <c r="V485" s="73"/>
    </row>
    <row r="486" spans="1:22">
      <c r="A486" s="63"/>
      <c r="B486" s="7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121"/>
      <c r="U486" s="122"/>
      <c r="V486" s="73"/>
    </row>
    <row r="487" spans="1:22">
      <c r="A487" s="63"/>
      <c r="B487" s="7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121"/>
      <c r="U487" s="122"/>
      <c r="V487" s="73"/>
    </row>
    <row r="488" spans="1:22">
      <c r="A488" s="63"/>
      <c r="B488" s="7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121"/>
      <c r="U488" s="122"/>
      <c r="V488" s="73"/>
    </row>
    <row r="489" spans="1:22">
      <c r="A489" s="63"/>
      <c r="B489" s="7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121"/>
      <c r="U489" s="122"/>
      <c r="V489" s="73"/>
    </row>
    <row r="490" spans="1:22">
      <c r="A490" s="63"/>
      <c r="B490" s="7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121"/>
      <c r="U490" s="122"/>
      <c r="V490" s="73"/>
    </row>
    <row r="491" spans="1:22">
      <c r="A491" s="63"/>
      <c r="B491" s="7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121"/>
      <c r="U491" s="122"/>
      <c r="V491" s="73"/>
    </row>
    <row r="492" spans="1:22">
      <c r="A492" s="63"/>
      <c r="B492" s="7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121"/>
      <c r="U492" s="122"/>
      <c r="V492" s="73"/>
    </row>
    <row r="493" spans="1:22">
      <c r="A493" s="63"/>
      <c r="B493" s="7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121"/>
      <c r="U493" s="122"/>
      <c r="V493" s="73"/>
    </row>
    <row r="494" spans="1:22">
      <c r="A494" s="63"/>
      <c r="B494" s="7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121"/>
      <c r="U494" s="122"/>
      <c r="V494" s="73"/>
    </row>
    <row r="495" spans="1:22">
      <c r="A495" s="63"/>
      <c r="B495" s="7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121"/>
      <c r="U495" s="122"/>
      <c r="V495" s="73"/>
    </row>
    <row r="496" spans="1:22">
      <c r="A496" s="63"/>
      <c r="B496" s="7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121"/>
      <c r="U496" s="122"/>
      <c r="V496" s="73"/>
    </row>
    <row r="497" spans="1:22">
      <c r="A497" s="63"/>
      <c r="B497" s="7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121"/>
      <c r="U497" s="122"/>
      <c r="V497" s="73"/>
    </row>
    <row r="498" spans="1:22">
      <c r="A498" s="63"/>
      <c r="B498" s="7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121"/>
      <c r="U498" s="122"/>
      <c r="V498" s="73"/>
    </row>
    <row r="499" spans="1:22">
      <c r="A499" s="63"/>
      <c r="B499" s="7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121"/>
      <c r="U499" s="122"/>
      <c r="V499" s="73"/>
    </row>
    <row r="500" spans="1:22">
      <c r="A500" s="63"/>
      <c r="B500" s="7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121"/>
      <c r="U500" s="122"/>
      <c r="V500" s="73"/>
    </row>
    <row r="501" spans="1:22">
      <c r="A501" s="63"/>
      <c r="B501" s="7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121"/>
      <c r="U501" s="122"/>
      <c r="V501" s="73"/>
    </row>
    <row r="502" spans="1:22">
      <c r="A502" s="63"/>
      <c r="B502" s="7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121"/>
      <c r="U502" s="122"/>
      <c r="V502" s="73"/>
    </row>
    <row r="503" spans="1:22">
      <c r="A503" s="63"/>
      <c r="B503" s="7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121"/>
      <c r="U503" s="122"/>
      <c r="V503" s="73"/>
    </row>
    <row r="504" spans="1:22">
      <c r="A504" s="63"/>
      <c r="B504" s="7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121"/>
      <c r="U504" s="122"/>
      <c r="V504" s="73"/>
    </row>
    <row r="505" spans="1:22">
      <c r="A505" s="63"/>
      <c r="B505" s="7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121"/>
      <c r="U505" s="122"/>
      <c r="V505" s="73"/>
    </row>
    <row r="506" spans="1:22">
      <c r="A506" s="63"/>
      <c r="B506" s="7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121"/>
      <c r="U506" s="122"/>
      <c r="V506" s="73"/>
    </row>
    <row r="507" spans="1:22">
      <c r="A507" s="63"/>
      <c r="B507" s="7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121"/>
      <c r="U507" s="122"/>
      <c r="V507" s="73"/>
    </row>
    <row r="508" spans="1:22">
      <c r="A508" s="63"/>
      <c r="B508" s="7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121"/>
      <c r="U508" s="122"/>
      <c r="V508" s="73"/>
    </row>
    <row r="509" spans="1:22">
      <c r="A509" s="63"/>
      <c r="B509" s="7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121"/>
      <c r="U509" s="122"/>
      <c r="V509" s="73"/>
    </row>
    <row r="510" spans="1:22">
      <c r="A510" s="63"/>
      <c r="B510" s="7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121"/>
      <c r="U510" s="122"/>
      <c r="V510" s="73"/>
    </row>
    <row r="511" spans="1:22">
      <c r="A511" s="63"/>
      <c r="B511" s="7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121"/>
      <c r="U511" s="122"/>
      <c r="V511" s="73"/>
    </row>
    <row r="512" spans="1:22">
      <c r="A512" s="63"/>
      <c r="B512" s="7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121"/>
      <c r="U512" s="122"/>
      <c r="V512" s="73"/>
    </row>
    <row r="513" spans="1:22">
      <c r="A513" s="63"/>
      <c r="B513" s="7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121"/>
      <c r="U513" s="122"/>
      <c r="V513" s="73"/>
    </row>
    <row r="514" spans="1:22">
      <c r="A514" s="63"/>
      <c r="B514" s="7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121"/>
      <c r="U514" s="122"/>
      <c r="V514" s="73"/>
    </row>
    <row r="515" spans="1:22">
      <c r="A515" s="63"/>
      <c r="B515" s="7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121"/>
      <c r="U515" s="122"/>
      <c r="V515" s="73"/>
    </row>
    <row r="516" spans="1:22">
      <c r="A516" s="63"/>
      <c r="B516" s="7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121"/>
      <c r="U516" s="122"/>
      <c r="V516" s="73"/>
    </row>
    <row r="517" spans="1:22">
      <c r="A517" s="63"/>
      <c r="B517" s="7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121"/>
      <c r="U517" s="122"/>
      <c r="V517" s="73"/>
    </row>
    <row r="518" spans="1:22">
      <c r="A518" s="63"/>
      <c r="B518" s="7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121"/>
      <c r="U518" s="122"/>
      <c r="V518" s="73"/>
    </row>
    <row r="519" spans="1:22">
      <c r="A519" s="63"/>
      <c r="B519" s="7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121"/>
      <c r="U519" s="122"/>
      <c r="V519" s="73"/>
    </row>
    <row r="520" spans="1:22">
      <c r="A520" s="63"/>
      <c r="B520" s="7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121"/>
      <c r="U520" s="122"/>
      <c r="V520" s="73"/>
    </row>
    <row r="521" spans="1:22">
      <c r="A521" s="63"/>
      <c r="B521" s="7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121"/>
      <c r="U521" s="122"/>
      <c r="V521" s="73"/>
    </row>
    <row r="522" spans="1:22">
      <c r="A522" s="63"/>
      <c r="B522" s="7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121"/>
      <c r="U522" s="122"/>
      <c r="V522" s="73"/>
    </row>
    <row r="523" spans="1:22">
      <c r="A523" s="63"/>
      <c r="B523" s="7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121"/>
      <c r="U523" s="122"/>
      <c r="V523" s="73"/>
    </row>
    <row r="524" spans="1:22">
      <c r="A524" s="63"/>
      <c r="B524" s="7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121"/>
      <c r="U524" s="122"/>
      <c r="V524" s="73"/>
    </row>
    <row r="525" spans="1:22">
      <c r="A525" s="63"/>
      <c r="B525" s="7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121"/>
      <c r="U525" s="122"/>
      <c r="V525" s="73"/>
    </row>
    <row r="526" spans="1:22">
      <c r="A526" s="63"/>
      <c r="B526" s="7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121"/>
      <c r="U526" s="122"/>
      <c r="V526" s="73"/>
    </row>
    <row r="527" spans="1:22">
      <c r="A527" s="63"/>
      <c r="B527" s="7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121"/>
      <c r="U527" s="122"/>
      <c r="V527" s="73"/>
    </row>
    <row r="528" spans="1:22">
      <c r="A528" s="63"/>
      <c r="B528" s="7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121"/>
      <c r="U528" s="122"/>
      <c r="V528" s="73"/>
    </row>
    <row r="529" spans="1:22">
      <c r="A529" s="63"/>
      <c r="B529" s="7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121"/>
      <c r="U529" s="122"/>
      <c r="V529" s="73"/>
    </row>
    <row r="530" spans="1:22">
      <c r="A530" s="63"/>
      <c r="B530" s="7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121"/>
      <c r="U530" s="122"/>
      <c r="V530" s="73"/>
    </row>
    <row r="531" spans="1:22">
      <c r="A531" s="63"/>
      <c r="B531" s="7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121"/>
      <c r="U531" s="122"/>
      <c r="V531" s="73"/>
    </row>
    <row r="532" spans="1:22">
      <c r="A532" s="63"/>
      <c r="B532" s="7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121"/>
      <c r="U532" s="122"/>
      <c r="V532" s="73"/>
    </row>
    <row r="533" spans="1:22">
      <c r="A533" s="63"/>
      <c r="B533" s="7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121"/>
      <c r="U533" s="122"/>
      <c r="V533" s="73"/>
    </row>
    <row r="534" spans="1:22">
      <c r="A534" s="63"/>
      <c r="B534" s="7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121"/>
      <c r="U534" s="122"/>
      <c r="V534" s="73"/>
    </row>
    <row r="535" spans="1:22">
      <c r="A535" s="63"/>
      <c r="B535" s="7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121"/>
      <c r="U535" s="122"/>
      <c r="V535" s="73"/>
    </row>
    <row r="536" spans="1:22">
      <c r="A536" s="63"/>
      <c r="B536" s="7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121"/>
      <c r="U536" s="122"/>
      <c r="V536" s="73"/>
    </row>
    <row r="537" spans="1:22">
      <c r="A537" s="63"/>
      <c r="B537" s="7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121"/>
      <c r="U537" s="122"/>
      <c r="V537" s="73"/>
    </row>
    <row r="538" spans="1:22">
      <c r="A538" s="63"/>
      <c r="B538" s="7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121"/>
      <c r="U538" s="122"/>
      <c r="V538" s="73"/>
    </row>
    <row r="539" spans="1:22">
      <c r="A539" s="63"/>
      <c r="B539" s="7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121"/>
      <c r="U539" s="122"/>
      <c r="V539" s="73"/>
    </row>
    <row r="540" spans="1:22">
      <c r="A540" s="63"/>
      <c r="B540" s="7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121"/>
      <c r="U540" s="122"/>
      <c r="V540" s="73"/>
    </row>
    <row r="541" spans="1:22">
      <c r="A541" s="63"/>
      <c r="B541" s="7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121"/>
      <c r="U541" s="122"/>
      <c r="V541" s="73"/>
    </row>
    <row r="542" spans="1:22">
      <c r="A542" s="63"/>
      <c r="B542" s="7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121"/>
      <c r="U542" s="122"/>
      <c r="V542" s="73"/>
    </row>
    <row r="543" spans="1:22">
      <c r="A543" s="63"/>
      <c r="B543" s="7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121"/>
      <c r="U543" s="122"/>
      <c r="V543" s="73"/>
    </row>
    <row r="544" spans="1:22">
      <c r="A544" s="63"/>
      <c r="B544" s="7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121"/>
      <c r="U544" s="122"/>
      <c r="V544" s="73"/>
    </row>
    <row r="545" spans="1:22">
      <c r="A545" s="63"/>
      <c r="B545" s="7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121"/>
      <c r="U545" s="122"/>
      <c r="V545" s="73"/>
    </row>
    <row r="546" spans="1:22">
      <c r="A546" s="63"/>
      <c r="B546" s="7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121"/>
      <c r="U546" s="122"/>
      <c r="V546" s="73"/>
    </row>
    <row r="547" spans="1:22">
      <c r="A547" s="63"/>
      <c r="B547" s="7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121"/>
      <c r="U547" s="122"/>
      <c r="V547" s="73"/>
    </row>
    <row r="548" spans="1:22">
      <c r="A548" s="63"/>
      <c r="B548" s="7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121"/>
      <c r="U548" s="122"/>
      <c r="V548" s="73"/>
    </row>
    <row r="549" spans="1:22">
      <c r="A549" s="63"/>
      <c r="B549" s="7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121"/>
      <c r="U549" s="122"/>
      <c r="V549" s="73"/>
    </row>
    <row r="550" spans="1:22">
      <c r="A550" s="63"/>
      <c r="B550" s="7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121"/>
      <c r="U550" s="122"/>
      <c r="V550" s="73"/>
    </row>
    <row r="551" spans="1:22">
      <c r="A551" s="63"/>
      <c r="B551" s="7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121"/>
      <c r="U551" s="122"/>
      <c r="V551" s="73"/>
    </row>
    <row r="552" spans="1:22">
      <c r="A552" s="63"/>
      <c r="B552" s="7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121"/>
      <c r="U552" s="122"/>
      <c r="V552" s="73"/>
    </row>
    <row r="553" spans="1:22">
      <c r="A553" s="63"/>
      <c r="B553" s="7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121"/>
      <c r="U553" s="122"/>
      <c r="V553" s="73"/>
    </row>
    <row r="554" spans="1:22">
      <c r="A554" s="63"/>
      <c r="B554" s="7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121"/>
      <c r="U554" s="122"/>
      <c r="V554" s="73"/>
    </row>
    <row r="555" spans="1:22">
      <c r="A555" s="63"/>
      <c r="B555" s="7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121"/>
      <c r="U555" s="122"/>
      <c r="V555" s="73"/>
    </row>
    <row r="556" spans="1:22">
      <c r="A556" s="63"/>
      <c r="B556" s="70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121"/>
      <c r="U556" s="122"/>
      <c r="V556" s="73"/>
    </row>
    <row r="557" spans="1:22">
      <c r="A557" s="63"/>
      <c r="B557" s="70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121"/>
      <c r="U557" s="122"/>
      <c r="V557" s="73"/>
    </row>
    <row r="558" spans="1:22">
      <c r="A558" s="63"/>
      <c r="B558" s="70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121"/>
      <c r="U558" s="122"/>
      <c r="V558" s="73"/>
    </row>
    <row r="559" spans="1:22">
      <c r="A559" s="63"/>
      <c r="B559" s="70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121"/>
      <c r="U559" s="122"/>
      <c r="V559" s="73"/>
    </row>
    <row r="560" spans="1:22">
      <c r="A560" s="63"/>
      <c r="B560" s="7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121"/>
      <c r="U560" s="122"/>
      <c r="V560" s="73"/>
    </row>
    <row r="561" spans="1:22">
      <c r="A561" s="63"/>
      <c r="B561" s="7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121"/>
      <c r="U561" s="122"/>
      <c r="V561" s="73"/>
    </row>
    <row r="562" spans="1:22">
      <c r="A562" s="63"/>
      <c r="B562" s="7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121"/>
      <c r="U562" s="122"/>
      <c r="V562" s="73"/>
    </row>
    <row r="563" spans="1:22">
      <c r="A563" s="63"/>
      <c r="B563" s="7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121"/>
      <c r="U563" s="122"/>
      <c r="V563" s="73"/>
    </row>
    <row r="564" spans="1:22">
      <c r="A564" s="63"/>
      <c r="B564" s="7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121"/>
      <c r="U564" s="122"/>
      <c r="V564" s="73"/>
    </row>
    <row r="565" spans="1:22">
      <c r="A565" s="63"/>
      <c r="B565" s="7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121"/>
      <c r="U565" s="122"/>
      <c r="V565" s="73"/>
    </row>
    <row r="566" spans="1:22">
      <c r="A566" s="63"/>
      <c r="B566" s="7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121"/>
      <c r="U566" s="122"/>
      <c r="V566" s="73"/>
    </row>
    <row r="567" spans="1:22">
      <c r="A567" s="63"/>
      <c r="B567" s="7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121"/>
      <c r="U567" s="122"/>
      <c r="V567" s="73"/>
    </row>
    <row r="568" spans="1:22">
      <c r="A568" s="63"/>
      <c r="B568" s="7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121"/>
      <c r="U568" s="122"/>
      <c r="V568" s="73"/>
    </row>
    <row r="569" spans="1:22">
      <c r="A569" s="63"/>
      <c r="B569" s="7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121"/>
      <c r="U569" s="122"/>
      <c r="V569" s="73"/>
    </row>
    <row r="570" spans="1:22">
      <c r="A570" s="63"/>
      <c r="B570" s="7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121"/>
      <c r="U570" s="122"/>
      <c r="V570" s="73"/>
    </row>
    <row r="571" spans="1:22">
      <c r="A571" s="63"/>
      <c r="B571" s="7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121"/>
      <c r="U571" s="122"/>
      <c r="V571" s="73"/>
    </row>
    <row r="572" spans="1:22">
      <c r="A572" s="63"/>
      <c r="B572" s="7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121"/>
      <c r="U572" s="122"/>
      <c r="V572" s="73"/>
    </row>
    <row r="573" spans="1:22">
      <c r="A573" s="63"/>
      <c r="B573" s="7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121"/>
      <c r="U573" s="122"/>
      <c r="V573" s="73"/>
    </row>
    <row r="574" spans="1:22">
      <c r="A574" s="63"/>
      <c r="B574" s="7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121"/>
      <c r="U574" s="122"/>
      <c r="V574" s="73"/>
    </row>
    <row r="575" spans="1:22">
      <c r="A575" s="63"/>
      <c r="B575" s="7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121"/>
      <c r="U575" s="122"/>
      <c r="V575" s="73"/>
    </row>
    <row r="576" spans="1:22">
      <c r="A576" s="63"/>
      <c r="B576" s="7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121"/>
      <c r="U576" s="122"/>
      <c r="V576" s="73"/>
    </row>
    <row r="577" spans="1:22">
      <c r="A577" s="63"/>
      <c r="B577" s="7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121"/>
      <c r="U577" s="122"/>
      <c r="V577" s="73"/>
    </row>
    <row r="578" spans="1:22">
      <c r="A578" s="63"/>
      <c r="B578" s="7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121"/>
      <c r="U578" s="122"/>
      <c r="V578" s="73"/>
    </row>
    <row r="579" spans="1:22">
      <c r="A579" s="63"/>
      <c r="B579" s="7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121"/>
      <c r="U579" s="122"/>
      <c r="V579" s="73"/>
    </row>
    <row r="580" spans="1:22">
      <c r="A580" s="63"/>
      <c r="B580" s="7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121"/>
      <c r="U580" s="122"/>
      <c r="V580" s="73"/>
    </row>
    <row r="581" spans="1:22">
      <c r="A581" s="63"/>
      <c r="B581" s="7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121"/>
      <c r="U581" s="122"/>
      <c r="V581" s="73"/>
    </row>
    <row r="582" spans="1:22">
      <c r="A582" s="63"/>
      <c r="B582" s="7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121"/>
      <c r="U582" s="122"/>
      <c r="V582" s="73"/>
    </row>
    <row r="583" spans="1:22">
      <c r="A583" s="63"/>
      <c r="B583" s="7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121"/>
      <c r="U583" s="122"/>
      <c r="V583" s="73"/>
    </row>
    <row r="584" spans="1:22">
      <c r="A584" s="63"/>
      <c r="B584" s="7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121"/>
      <c r="U584" s="122"/>
      <c r="V584" s="73"/>
    </row>
    <row r="585" spans="1:22">
      <c r="A585" s="63"/>
      <c r="B585" s="7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121"/>
      <c r="U585" s="122"/>
      <c r="V585" s="73"/>
    </row>
    <row r="586" spans="1:22">
      <c r="A586" s="63"/>
      <c r="B586" s="7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121"/>
      <c r="U586" s="122"/>
      <c r="V586" s="73"/>
    </row>
    <row r="587" spans="1:22">
      <c r="A587" s="63"/>
      <c r="B587" s="7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121"/>
      <c r="U587" s="122"/>
      <c r="V587" s="73"/>
    </row>
    <row r="588" spans="1:22">
      <c r="A588" s="63"/>
      <c r="B588" s="7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121"/>
      <c r="U588" s="122"/>
      <c r="V588" s="73"/>
    </row>
    <row r="589" spans="1:22">
      <c r="A589" s="63"/>
      <c r="B589" s="7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121"/>
      <c r="U589" s="122"/>
      <c r="V589" s="73"/>
    </row>
    <row r="590" spans="1:22">
      <c r="A590" s="63"/>
      <c r="B590" s="7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121"/>
      <c r="U590" s="122"/>
      <c r="V590" s="73"/>
    </row>
    <row r="591" spans="1:22">
      <c r="A591" s="63"/>
      <c r="B591" s="7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121"/>
      <c r="U591" s="122"/>
      <c r="V591" s="73"/>
    </row>
    <row r="592" spans="1:22">
      <c r="A592" s="63"/>
      <c r="B592" s="7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121"/>
      <c r="U592" s="122"/>
      <c r="V592" s="73"/>
    </row>
    <row r="593" spans="1:22">
      <c r="A593" s="63"/>
      <c r="B593" s="7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121"/>
      <c r="U593" s="122"/>
      <c r="V593" s="73"/>
    </row>
    <row r="594" spans="1:22">
      <c r="A594" s="63"/>
      <c r="B594" s="7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121"/>
      <c r="U594" s="122"/>
      <c r="V594" s="73"/>
    </row>
    <row r="595" spans="1:22">
      <c r="A595" s="63"/>
      <c r="B595" s="7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121"/>
      <c r="U595" s="122"/>
      <c r="V595" s="73"/>
    </row>
    <row r="596" spans="1:22">
      <c r="A596" s="63"/>
      <c r="B596" s="7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121"/>
      <c r="U596" s="122"/>
      <c r="V596" s="73"/>
    </row>
    <row r="597" spans="1:22">
      <c r="A597" s="63"/>
      <c r="B597" s="7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121"/>
      <c r="U597" s="122"/>
      <c r="V597" s="73"/>
    </row>
    <row r="598" spans="1:22">
      <c r="A598" s="63"/>
      <c r="B598" s="7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121"/>
      <c r="U598" s="122"/>
      <c r="V598" s="73"/>
    </row>
    <row r="599" spans="1:22">
      <c r="A599" s="63"/>
      <c r="B599" s="7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121"/>
      <c r="U599" s="122"/>
      <c r="V599" s="73"/>
    </row>
    <row r="600" spans="1:22">
      <c r="A600" s="63"/>
      <c r="B600" s="7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121"/>
      <c r="U600" s="122"/>
      <c r="V600" s="73"/>
    </row>
    <row r="601" spans="1:22">
      <c r="A601" s="63"/>
      <c r="B601" s="7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121"/>
      <c r="U601" s="122"/>
      <c r="V601" s="73"/>
    </row>
    <row r="602" spans="1:22">
      <c r="A602" s="63"/>
      <c r="B602" s="7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121"/>
      <c r="U602" s="122"/>
      <c r="V602" s="73"/>
    </row>
    <row r="603" spans="1:22">
      <c r="A603" s="63"/>
      <c r="B603" s="7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121"/>
      <c r="U603" s="122"/>
      <c r="V603" s="73"/>
    </row>
    <row r="604" spans="1:22">
      <c r="A604" s="63"/>
      <c r="B604" s="7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121"/>
      <c r="U604" s="122"/>
      <c r="V604" s="73"/>
    </row>
    <row r="605" spans="1:22">
      <c r="A605" s="63"/>
      <c r="B605" s="7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121"/>
      <c r="U605" s="122"/>
      <c r="V605" s="73"/>
    </row>
    <row r="606" spans="1:22">
      <c r="A606" s="63"/>
      <c r="B606" s="7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121"/>
      <c r="U606" s="122"/>
      <c r="V606" s="73"/>
    </row>
    <row r="607" spans="1:22">
      <c r="A607" s="63"/>
      <c r="B607" s="7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121"/>
      <c r="U607" s="122"/>
      <c r="V607" s="73"/>
    </row>
    <row r="608" spans="1:22">
      <c r="A608" s="63"/>
      <c r="B608" s="7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121"/>
      <c r="U608" s="122"/>
      <c r="V608" s="73"/>
    </row>
    <row r="609" spans="1:22">
      <c r="A609" s="63"/>
      <c r="B609" s="7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121"/>
      <c r="U609" s="122"/>
      <c r="V609" s="73"/>
    </row>
    <row r="610" spans="1:22">
      <c r="A610" s="63"/>
      <c r="B610" s="7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121"/>
      <c r="U610" s="122"/>
      <c r="V610" s="73"/>
    </row>
    <row r="611" spans="1:22">
      <c r="A611" s="63"/>
      <c r="B611" s="7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121"/>
      <c r="U611" s="122"/>
      <c r="V611" s="73"/>
    </row>
    <row r="612" spans="1:22">
      <c r="A612" s="63"/>
      <c r="B612" s="7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121"/>
      <c r="U612" s="122"/>
      <c r="V612" s="73"/>
    </row>
    <row r="613" spans="1:22">
      <c r="A613" s="63"/>
      <c r="B613" s="7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121"/>
      <c r="U613" s="122"/>
      <c r="V613" s="73"/>
    </row>
    <row r="614" spans="1:22">
      <c r="A614" s="63"/>
      <c r="B614" s="7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121"/>
      <c r="U614" s="122"/>
      <c r="V614" s="73"/>
    </row>
    <row r="615" spans="1:22">
      <c r="A615" s="63"/>
      <c r="B615" s="7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121"/>
      <c r="U615" s="122"/>
      <c r="V615" s="73"/>
    </row>
    <row r="616" spans="1:22">
      <c r="A616" s="63"/>
      <c r="B616" s="7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121"/>
      <c r="U616" s="122"/>
      <c r="V616" s="73"/>
    </row>
    <row r="617" spans="1:22">
      <c r="A617" s="63"/>
      <c r="B617" s="7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121"/>
      <c r="U617" s="122"/>
      <c r="V617" s="73"/>
    </row>
    <row r="618" spans="1:22">
      <c r="A618" s="63"/>
      <c r="B618" s="7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121"/>
      <c r="U618" s="122"/>
      <c r="V618" s="73"/>
    </row>
    <row r="619" spans="1:22">
      <c r="A619" s="63"/>
      <c r="B619" s="7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121"/>
      <c r="U619" s="122"/>
      <c r="V619" s="73"/>
    </row>
    <row r="620" spans="1:22">
      <c r="A620" s="63"/>
      <c r="B620" s="7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121"/>
      <c r="U620" s="122"/>
      <c r="V620" s="73"/>
    </row>
    <row r="621" spans="1:22">
      <c r="A621" s="63"/>
      <c r="B621" s="7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121"/>
      <c r="U621" s="122"/>
      <c r="V621" s="73"/>
    </row>
    <row r="622" spans="1:22">
      <c r="A622" s="63"/>
      <c r="B622" s="7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121"/>
      <c r="U622" s="122"/>
      <c r="V622" s="73"/>
    </row>
    <row r="623" spans="1:22">
      <c r="A623" s="63"/>
      <c r="B623" s="7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121"/>
      <c r="U623" s="122"/>
      <c r="V623" s="73"/>
    </row>
    <row r="624" spans="1:22">
      <c r="A624" s="63"/>
      <c r="B624" s="7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121"/>
      <c r="U624" s="122"/>
      <c r="V624" s="73"/>
    </row>
    <row r="625" spans="1:22">
      <c r="A625" s="63"/>
      <c r="B625" s="7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121"/>
      <c r="U625" s="122"/>
      <c r="V625" s="73"/>
    </row>
    <row r="626" spans="1:22">
      <c r="A626" s="63"/>
      <c r="B626" s="7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121"/>
      <c r="U626" s="122"/>
      <c r="V626" s="73"/>
    </row>
    <row r="627" spans="1:22">
      <c r="A627" s="63"/>
      <c r="B627" s="7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121"/>
      <c r="U627" s="122"/>
      <c r="V627" s="73"/>
    </row>
    <row r="628" spans="1:22">
      <c r="A628" s="63"/>
      <c r="B628" s="7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121"/>
      <c r="U628" s="122"/>
      <c r="V628" s="73"/>
    </row>
    <row r="629" spans="1:22">
      <c r="A629" s="63"/>
      <c r="B629" s="7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121"/>
      <c r="U629" s="122"/>
      <c r="V629" s="73"/>
    </row>
    <row r="630" spans="1:22">
      <c r="A630" s="63"/>
      <c r="B630" s="70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80"/>
      <c r="R630" s="80"/>
      <c r="S630" s="80"/>
      <c r="T630" s="121"/>
      <c r="U630" s="122"/>
      <c r="V630" s="73"/>
    </row>
    <row r="631" spans="1:22">
      <c r="A631" s="63"/>
      <c r="B631" s="70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80"/>
      <c r="R631" s="80"/>
      <c r="S631" s="80"/>
      <c r="T631" s="121"/>
      <c r="U631" s="122"/>
      <c r="V631" s="73"/>
    </row>
    <row r="632" spans="1:22">
      <c r="A632" s="63"/>
      <c r="B632" s="70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80"/>
      <c r="R632" s="80"/>
      <c r="S632" s="80"/>
      <c r="T632" s="121"/>
      <c r="U632" s="122"/>
      <c r="V632" s="73"/>
    </row>
    <row r="633" spans="1:22">
      <c r="A633" s="63"/>
      <c r="B633" s="70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0"/>
      <c r="N633" s="80"/>
      <c r="O633" s="80"/>
      <c r="P633" s="80"/>
      <c r="Q633" s="80"/>
      <c r="R633" s="80"/>
      <c r="S633" s="80"/>
      <c r="T633" s="121"/>
      <c r="U633" s="122"/>
      <c r="V633" s="73"/>
    </row>
    <row r="634" spans="1:22">
      <c r="A634" s="63"/>
      <c r="B634" s="70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80"/>
      <c r="R634" s="80"/>
      <c r="S634" s="80"/>
      <c r="T634" s="121"/>
      <c r="U634" s="122"/>
      <c r="V634" s="73"/>
    </row>
    <row r="635" spans="1:22">
      <c r="A635" s="63"/>
      <c r="B635" s="70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0"/>
      <c r="N635" s="80"/>
      <c r="O635" s="80"/>
      <c r="P635" s="80"/>
      <c r="Q635" s="80"/>
      <c r="R635" s="80"/>
      <c r="S635" s="80"/>
      <c r="T635" s="121"/>
      <c r="U635" s="122"/>
      <c r="V635" s="73"/>
    </row>
    <row r="636" spans="1:22">
      <c r="A636" s="63"/>
      <c r="B636" s="70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0"/>
      <c r="N636" s="80"/>
      <c r="O636" s="80"/>
      <c r="P636" s="80"/>
      <c r="Q636" s="80"/>
      <c r="R636" s="80"/>
      <c r="S636" s="80"/>
      <c r="T636" s="121"/>
      <c r="U636" s="122"/>
      <c r="V636" s="73"/>
    </row>
    <row r="637" spans="1:22">
      <c r="A637" s="63"/>
      <c r="B637" s="70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0"/>
      <c r="N637" s="80"/>
      <c r="O637" s="80"/>
      <c r="P637" s="80"/>
      <c r="Q637" s="80"/>
      <c r="R637" s="80"/>
      <c r="S637" s="80"/>
      <c r="T637" s="121"/>
      <c r="U637" s="122"/>
      <c r="V637" s="73"/>
    </row>
    <row r="638" spans="1:22">
      <c r="A638" s="63"/>
      <c r="B638" s="70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0"/>
      <c r="N638" s="80"/>
      <c r="O638" s="80"/>
      <c r="P638" s="80"/>
      <c r="Q638" s="80"/>
      <c r="R638" s="80"/>
      <c r="S638" s="80"/>
      <c r="T638" s="121"/>
      <c r="U638" s="122"/>
      <c r="V638" s="73"/>
    </row>
    <row r="639" spans="1:22">
      <c r="A639" s="63"/>
      <c r="B639" s="70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0"/>
      <c r="N639" s="80"/>
      <c r="O639" s="80"/>
      <c r="P639" s="80"/>
      <c r="Q639" s="80"/>
      <c r="R639" s="80"/>
      <c r="S639" s="80"/>
      <c r="T639" s="121"/>
      <c r="U639" s="122"/>
      <c r="V639" s="73"/>
    </row>
    <row r="640" spans="1:22">
      <c r="A640" s="63"/>
      <c r="B640" s="70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0"/>
      <c r="N640" s="80"/>
      <c r="O640" s="80"/>
      <c r="P640" s="80"/>
      <c r="Q640" s="80"/>
      <c r="R640" s="80"/>
      <c r="S640" s="80"/>
      <c r="T640" s="121"/>
      <c r="U640" s="122"/>
      <c r="V640" s="73"/>
    </row>
    <row r="641" spans="1:22">
      <c r="A641" s="63"/>
      <c r="B641" s="70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0"/>
      <c r="N641" s="80"/>
      <c r="O641" s="80"/>
      <c r="P641" s="80"/>
      <c r="Q641" s="80"/>
      <c r="R641" s="80"/>
      <c r="S641" s="80"/>
      <c r="T641" s="121"/>
      <c r="U641" s="122"/>
      <c r="V641" s="73"/>
    </row>
    <row r="642" spans="1:22">
      <c r="A642" s="63"/>
      <c r="B642" s="70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0"/>
      <c r="N642" s="80"/>
      <c r="O642" s="80"/>
      <c r="P642" s="80"/>
      <c r="Q642" s="80"/>
      <c r="R642" s="80"/>
      <c r="S642" s="80"/>
      <c r="T642" s="121"/>
      <c r="U642" s="122"/>
      <c r="V642" s="73"/>
    </row>
    <row r="643" spans="1:22">
      <c r="A643" s="63"/>
      <c r="B643" s="70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0"/>
      <c r="N643" s="80"/>
      <c r="O643" s="80"/>
      <c r="P643" s="80"/>
      <c r="Q643" s="80"/>
      <c r="R643" s="80"/>
      <c r="S643" s="80"/>
      <c r="T643" s="121"/>
      <c r="U643" s="122"/>
      <c r="V643" s="73"/>
    </row>
    <row r="644" spans="1:22">
      <c r="A644" s="63"/>
      <c r="B644" s="70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0"/>
      <c r="N644" s="80"/>
      <c r="O644" s="80"/>
      <c r="P644" s="80"/>
      <c r="Q644" s="80"/>
      <c r="R644" s="80"/>
      <c r="S644" s="80"/>
      <c r="T644" s="121"/>
      <c r="U644" s="122"/>
      <c r="V644" s="73"/>
    </row>
    <row r="645" spans="1:22">
      <c r="A645" s="63"/>
      <c r="B645" s="70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80"/>
      <c r="R645" s="80"/>
      <c r="S645" s="80"/>
      <c r="T645" s="121"/>
      <c r="U645" s="122"/>
      <c r="V645" s="73"/>
    </row>
    <row r="646" spans="1:22">
      <c r="A646" s="63"/>
      <c r="B646" s="70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0"/>
      <c r="N646" s="80"/>
      <c r="O646" s="80"/>
      <c r="P646" s="80"/>
      <c r="Q646" s="80"/>
      <c r="R646" s="80"/>
      <c r="S646" s="80"/>
      <c r="T646" s="121"/>
      <c r="U646" s="122"/>
      <c r="V646" s="73"/>
    </row>
    <row r="647" spans="1:22">
      <c r="A647" s="63"/>
      <c r="B647" s="70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0"/>
      <c r="N647" s="80"/>
      <c r="O647" s="80"/>
      <c r="P647" s="80"/>
      <c r="Q647" s="80"/>
      <c r="R647" s="80"/>
      <c r="S647" s="80"/>
      <c r="T647" s="121"/>
      <c r="U647" s="122"/>
      <c r="V647" s="73"/>
    </row>
    <row r="648" spans="1:22">
      <c r="A648" s="63"/>
      <c r="B648" s="70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80"/>
      <c r="R648" s="80"/>
      <c r="S648" s="80"/>
      <c r="T648" s="121"/>
      <c r="U648" s="122"/>
      <c r="V648" s="73"/>
    </row>
    <row r="649" spans="1:22">
      <c r="A649" s="63"/>
      <c r="B649" s="70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80"/>
      <c r="R649" s="80"/>
      <c r="S649" s="80"/>
      <c r="T649" s="121"/>
      <c r="U649" s="122"/>
      <c r="V649" s="73"/>
    </row>
    <row r="650" spans="1:22">
      <c r="A650" s="63"/>
      <c r="B650" s="70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  <c r="R650" s="80"/>
      <c r="S650" s="80"/>
      <c r="T650" s="121"/>
      <c r="U650" s="122"/>
      <c r="V650" s="73"/>
    </row>
    <row r="651" spans="1:22">
      <c r="A651" s="63"/>
      <c r="B651" s="70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80"/>
      <c r="R651" s="80"/>
      <c r="S651" s="80"/>
      <c r="T651" s="121"/>
      <c r="U651" s="122"/>
      <c r="V651" s="73"/>
    </row>
    <row r="652" spans="1:22">
      <c r="A652" s="63"/>
      <c r="B652" s="70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80"/>
      <c r="R652" s="80"/>
      <c r="S652" s="80"/>
      <c r="T652" s="121"/>
      <c r="U652" s="122"/>
      <c r="V652" s="73"/>
    </row>
    <row r="653" spans="1:22">
      <c r="A653" s="63"/>
      <c r="B653" s="70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80"/>
      <c r="R653" s="80"/>
      <c r="S653" s="80"/>
      <c r="T653" s="121"/>
      <c r="U653" s="122"/>
      <c r="V653" s="73"/>
    </row>
    <row r="654" spans="1:22">
      <c r="A654" s="63"/>
      <c r="B654" s="70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0"/>
      <c r="N654" s="80"/>
      <c r="O654" s="80"/>
      <c r="P654" s="80"/>
      <c r="Q654" s="80"/>
      <c r="R654" s="80"/>
      <c r="S654" s="80"/>
      <c r="T654" s="121"/>
      <c r="U654" s="122"/>
      <c r="V654" s="73"/>
    </row>
    <row r="655" spans="1:22">
      <c r="A655" s="63"/>
      <c r="B655" s="70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0"/>
      <c r="N655" s="80"/>
      <c r="O655" s="80"/>
      <c r="P655" s="80"/>
      <c r="Q655" s="80"/>
      <c r="R655" s="80"/>
      <c r="S655" s="80"/>
      <c r="T655" s="121"/>
      <c r="U655" s="122"/>
      <c r="V655" s="73"/>
    </row>
    <row r="656" spans="1:22">
      <c r="A656" s="63"/>
      <c r="B656" s="70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0"/>
      <c r="N656" s="80"/>
      <c r="O656" s="80"/>
      <c r="P656" s="80"/>
      <c r="Q656" s="80"/>
      <c r="R656" s="80"/>
      <c r="S656" s="80"/>
      <c r="T656" s="121"/>
      <c r="U656" s="122"/>
      <c r="V656" s="73"/>
    </row>
    <row r="657" spans="1:22">
      <c r="A657" s="63"/>
      <c r="B657" s="70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0"/>
      <c r="N657" s="80"/>
      <c r="O657" s="80"/>
      <c r="P657" s="80"/>
      <c r="Q657" s="80"/>
      <c r="R657" s="80"/>
      <c r="S657" s="80"/>
      <c r="T657" s="121"/>
      <c r="U657" s="122"/>
      <c r="V657" s="73"/>
    </row>
    <row r="658" spans="1:22">
      <c r="A658" s="63"/>
      <c r="B658" s="70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0"/>
      <c r="N658" s="80"/>
      <c r="O658" s="80"/>
      <c r="P658" s="80"/>
      <c r="Q658" s="80"/>
      <c r="R658" s="80"/>
      <c r="S658" s="80"/>
      <c r="T658" s="121"/>
      <c r="U658" s="122"/>
      <c r="V658" s="73"/>
    </row>
    <row r="659" spans="1:22">
      <c r="A659" s="63"/>
      <c r="B659" s="70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0"/>
      <c r="N659" s="80"/>
      <c r="O659" s="80"/>
      <c r="P659" s="80"/>
      <c r="Q659" s="80"/>
      <c r="R659" s="80"/>
      <c r="S659" s="80"/>
      <c r="T659" s="121"/>
      <c r="U659" s="122"/>
      <c r="V659" s="73"/>
    </row>
    <row r="660" spans="1:22">
      <c r="A660" s="63"/>
      <c r="B660" s="70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0"/>
      <c r="N660" s="80"/>
      <c r="O660" s="80"/>
      <c r="P660" s="80"/>
      <c r="Q660" s="80"/>
      <c r="R660" s="80"/>
      <c r="S660" s="80"/>
      <c r="T660" s="121"/>
      <c r="U660" s="122"/>
      <c r="V660" s="73"/>
    </row>
    <row r="661" spans="1:22">
      <c r="A661" s="63"/>
      <c r="B661" s="70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0"/>
      <c r="N661" s="80"/>
      <c r="O661" s="80"/>
      <c r="P661" s="80"/>
      <c r="Q661" s="80"/>
      <c r="R661" s="80"/>
      <c r="S661" s="80"/>
      <c r="T661" s="121"/>
      <c r="U661" s="122"/>
      <c r="V661" s="73"/>
    </row>
    <row r="662" spans="1:22">
      <c r="A662" s="63"/>
      <c r="B662" s="70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0"/>
      <c r="N662" s="80"/>
      <c r="O662" s="80"/>
      <c r="P662" s="80"/>
      <c r="Q662" s="80"/>
      <c r="R662" s="80"/>
      <c r="S662" s="80"/>
      <c r="T662" s="121"/>
      <c r="U662" s="122"/>
      <c r="V662" s="73"/>
    </row>
    <row r="663" spans="1:22">
      <c r="A663" s="63"/>
      <c r="B663" s="70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0"/>
      <c r="N663" s="80"/>
      <c r="O663" s="80"/>
      <c r="P663" s="80"/>
      <c r="Q663" s="80"/>
      <c r="R663" s="80"/>
      <c r="S663" s="80"/>
      <c r="T663" s="121"/>
      <c r="U663" s="122"/>
      <c r="V663" s="73"/>
    </row>
    <row r="664" spans="1:22">
      <c r="A664" s="63"/>
      <c r="B664" s="70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0"/>
      <c r="N664" s="80"/>
      <c r="O664" s="80"/>
      <c r="P664" s="80"/>
      <c r="Q664" s="80"/>
      <c r="R664" s="80"/>
      <c r="S664" s="80"/>
      <c r="T664" s="121"/>
      <c r="U664" s="122"/>
      <c r="V664" s="73"/>
    </row>
    <row r="665" spans="1:22">
      <c r="A665" s="63"/>
      <c r="B665" s="70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0"/>
      <c r="N665" s="80"/>
      <c r="O665" s="80"/>
      <c r="P665" s="80"/>
      <c r="Q665" s="80"/>
      <c r="R665" s="80"/>
      <c r="S665" s="80"/>
      <c r="T665" s="121"/>
      <c r="U665" s="122"/>
      <c r="V665" s="73"/>
    </row>
    <row r="666" spans="1:22">
      <c r="A666" s="63"/>
      <c r="B666" s="70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0"/>
      <c r="N666" s="80"/>
      <c r="O666" s="80"/>
      <c r="P666" s="80"/>
      <c r="Q666" s="80"/>
      <c r="R666" s="80"/>
      <c r="S666" s="80"/>
      <c r="T666" s="121"/>
      <c r="U666" s="122"/>
      <c r="V666" s="73"/>
    </row>
    <row r="667" spans="1:22">
      <c r="A667" s="63"/>
      <c r="B667" s="70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0"/>
      <c r="N667" s="80"/>
      <c r="O667" s="80"/>
      <c r="P667" s="80"/>
      <c r="Q667" s="80"/>
      <c r="R667" s="80"/>
      <c r="S667" s="80"/>
      <c r="T667" s="121"/>
      <c r="U667" s="122"/>
      <c r="V667" s="73"/>
    </row>
    <row r="668" spans="1:22">
      <c r="A668" s="63"/>
      <c r="B668" s="70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0"/>
      <c r="N668" s="80"/>
      <c r="O668" s="80"/>
      <c r="P668" s="80"/>
      <c r="Q668" s="80"/>
      <c r="R668" s="80"/>
      <c r="S668" s="80"/>
      <c r="T668" s="121"/>
      <c r="U668" s="122"/>
      <c r="V668" s="73"/>
    </row>
    <row r="669" spans="1:22">
      <c r="A669" s="63"/>
      <c r="B669" s="70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0"/>
      <c r="N669" s="80"/>
      <c r="O669" s="80"/>
      <c r="P669" s="80"/>
      <c r="Q669" s="80"/>
      <c r="R669" s="80"/>
      <c r="S669" s="80"/>
      <c r="T669" s="121"/>
      <c r="U669" s="122"/>
      <c r="V669" s="73"/>
    </row>
    <row r="670" spans="1:22">
      <c r="A670" s="63"/>
      <c r="B670" s="70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0"/>
      <c r="N670" s="80"/>
      <c r="O670" s="80"/>
      <c r="P670" s="80"/>
      <c r="Q670" s="80"/>
      <c r="R670" s="80"/>
      <c r="S670" s="80"/>
      <c r="T670" s="121"/>
      <c r="U670" s="122"/>
      <c r="V670" s="73"/>
    </row>
    <row r="671" spans="1:22">
      <c r="A671" s="63"/>
      <c r="B671" s="70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0"/>
      <c r="N671" s="80"/>
      <c r="O671" s="80"/>
      <c r="P671" s="80"/>
      <c r="Q671" s="80"/>
      <c r="R671" s="80"/>
      <c r="S671" s="80"/>
      <c r="T671" s="121"/>
      <c r="U671" s="122"/>
      <c r="V671" s="73"/>
    </row>
    <row r="672" spans="1:22">
      <c r="A672" s="63"/>
      <c r="B672" s="70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0"/>
      <c r="N672" s="80"/>
      <c r="O672" s="80"/>
      <c r="P672" s="80"/>
      <c r="Q672" s="80"/>
      <c r="R672" s="80"/>
      <c r="S672" s="80"/>
      <c r="T672" s="121"/>
      <c r="U672" s="122"/>
      <c r="V672" s="73"/>
    </row>
    <row r="673" spans="1:22">
      <c r="A673" s="63"/>
      <c r="B673" s="70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0"/>
      <c r="N673" s="80"/>
      <c r="O673" s="80"/>
      <c r="P673" s="80"/>
      <c r="Q673" s="80"/>
      <c r="R673" s="80"/>
      <c r="S673" s="80"/>
      <c r="T673" s="121"/>
      <c r="U673" s="122"/>
      <c r="V673" s="73"/>
    </row>
    <row r="674" spans="1:22">
      <c r="A674" s="63"/>
      <c r="B674" s="70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0"/>
      <c r="N674" s="80"/>
      <c r="O674" s="80"/>
      <c r="P674" s="80"/>
      <c r="Q674" s="80"/>
      <c r="R674" s="80"/>
      <c r="S674" s="80"/>
      <c r="T674" s="121"/>
      <c r="U674" s="122"/>
      <c r="V674" s="73"/>
    </row>
    <row r="675" spans="1:22">
      <c r="A675" s="63"/>
      <c r="B675" s="70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0"/>
      <c r="N675" s="80"/>
      <c r="O675" s="80"/>
      <c r="P675" s="80"/>
      <c r="Q675" s="80"/>
      <c r="R675" s="80"/>
      <c r="S675" s="80"/>
      <c r="T675" s="121"/>
      <c r="U675" s="122"/>
      <c r="V675" s="73"/>
    </row>
    <row r="676" spans="1:22">
      <c r="A676" s="63"/>
      <c r="B676" s="70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0"/>
      <c r="N676" s="80"/>
      <c r="O676" s="80"/>
      <c r="P676" s="80"/>
      <c r="Q676" s="80"/>
      <c r="R676" s="80"/>
      <c r="S676" s="80"/>
      <c r="T676" s="121"/>
      <c r="U676" s="122"/>
      <c r="V676" s="73"/>
    </row>
    <row r="677" spans="1:22">
      <c r="A677" s="63"/>
      <c r="B677" s="70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0"/>
      <c r="N677" s="80"/>
      <c r="O677" s="80"/>
      <c r="P677" s="80"/>
      <c r="Q677" s="80"/>
      <c r="R677" s="80"/>
      <c r="S677" s="80"/>
      <c r="T677" s="121"/>
      <c r="U677" s="122"/>
      <c r="V677" s="73"/>
    </row>
    <row r="678" spans="1:22">
      <c r="A678" s="63"/>
      <c r="B678" s="70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  <c r="S678" s="80"/>
      <c r="T678" s="121"/>
      <c r="U678" s="122"/>
      <c r="V678" s="73"/>
    </row>
    <row r="679" spans="1:22">
      <c r="A679" s="63"/>
      <c r="B679" s="70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  <c r="R679" s="80"/>
      <c r="S679" s="80"/>
      <c r="T679" s="121"/>
      <c r="U679" s="122"/>
      <c r="V679" s="73"/>
    </row>
    <row r="680" spans="1:22">
      <c r="A680" s="63"/>
      <c r="B680" s="70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  <c r="R680" s="80"/>
      <c r="S680" s="80"/>
      <c r="T680" s="121"/>
      <c r="U680" s="122"/>
      <c r="V680" s="73"/>
    </row>
    <row r="681" spans="1:22">
      <c r="A681" s="63"/>
      <c r="B681" s="70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  <c r="R681" s="80"/>
      <c r="S681" s="80"/>
      <c r="T681" s="121"/>
      <c r="U681" s="122"/>
      <c r="V681" s="73"/>
    </row>
    <row r="682" spans="1:22">
      <c r="A682" s="63"/>
      <c r="B682" s="70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  <c r="S682" s="80"/>
      <c r="T682" s="121"/>
      <c r="U682" s="122"/>
      <c r="V682" s="73"/>
    </row>
    <row r="683" spans="1:22">
      <c r="A683" s="63"/>
      <c r="B683" s="70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  <c r="R683" s="80"/>
      <c r="S683" s="80"/>
      <c r="T683" s="121"/>
      <c r="U683" s="122"/>
      <c r="V683" s="73"/>
    </row>
    <row r="684" spans="1:22">
      <c r="A684" s="63"/>
      <c r="B684" s="70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  <c r="R684" s="80"/>
      <c r="S684" s="80"/>
      <c r="T684" s="121"/>
      <c r="U684" s="122"/>
      <c r="V684" s="73"/>
    </row>
    <row r="685" spans="1:22">
      <c r="A685" s="63"/>
      <c r="B685" s="70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  <c r="R685" s="80"/>
      <c r="S685" s="80"/>
      <c r="T685" s="121"/>
      <c r="U685" s="122"/>
      <c r="V685" s="73"/>
    </row>
    <row r="686" spans="1:22">
      <c r="A686" s="63"/>
      <c r="B686" s="70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  <c r="R686" s="80"/>
      <c r="S686" s="80"/>
      <c r="T686" s="121"/>
      <c r="U686" s="122"/>
      <c r="V686" s="73"/>
    </row>
    <row r="687" spans="1:22">
      <c r="A687" s="63"/>
      <c r="B687" s="70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  <c r="R687" s="80"/>
      <c r="S687" s="80"/>
      <c r="T687" s="121"/>
      <c r="U687" s="122"/>
      <c r="V687" s="73"/>
    </row>
    <row r="688" spans="1:22">
      <c r="A688" s="63"/>
      <c r="B688" s="70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  <c r="R688" s="80"/>
      <c r="S688" s="80"/>
      <c r="T688" s="121"/>
      <c r="U688" s="122"/>
      <c r="V688" s="73"/>
    </row>
    <row r="689" spans="1:22">
      <c r="A689" s="63"/>
      <c r="B689" s="70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  <c r="R689" s="80"/>
      <c r="S689" s="80"/>
      <c r="T689" s="121"/>
      <c r="U689" s="122"/>
      <c r="V689" s="73"/>
    </row>
    <row r="690" spans="1:22">
      <c r="A690" s="63"/>
      <c r="B690" s="70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  <c r="R690" s="80"/>
      <c r="S690" s="80"/>
      <c r="T690" s="121"/>
      <c r="U690" s="122"/>
      <c r="V690" s="73"/>
    </row>
    <row r="691" spans="1:22">
      <c r="A691" s="63"/>
      <c r="B691" s="70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  <c r="R691" s="80"/>
      <c r="S691" s="80"/>
      <c r="T691" s="121"/>
      <c r="U691" s="122"/>
      <c r="V691" s="73"/>
    </row>
    <row r="692" spans="1:22">
      <c r="A692" s="63"/>
      <c r="B692" s="70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  <c r="R692" s="80"/>
      <c r="S692" s="80"/>
      <c r="T692" s="121"/>
      <c r="U692" s="122"/>
      <c r="V692" s="73"/>
    </row>
    <row r="693" spans="1:22">
      <c r="A693" s="63"/>
      <c r="B693" s="70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0"/>
      <c r="N693" s="80"/>
      <c r="O693" s="80"/>
      <c r="P693" s="80"/>
      <c r="Q693" s="80"/>
      <c r="R693" s="80"/>
      <c r="S693" s="80"/>
      <c r="T693" s="121"/>
      <c r="U693" s="122"/>
      <c r="V693" s="73"/>
    </row>
    <row r="694" spans="1:22">
      <c r="A694" s="63"/>
      <c r="B694" s="70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0"/>
      <c r="N694" s="80"/>
      <c r="O694" s="80"/>
      <c r="P694" s="80"/>
      <c r="Q694" s="80"/>
      <c r="R694" s="80"/>
      <c r="S694" s="80"/>
      <c r="T694" s="121"/>
      <c r="U694" s="122"/>
      <c r="V694" s="73"/>
    </row>
    <row r="695" spans="1:22">
      <c r="A695" s="63"/>
      <c r="B695" s="70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0"/>
      <c r="N695" s="80"/>
      <c r="O695" s="80"/>
      <c r="P695" s="80"/>
      <c r="Q695" s="80"/>
      <c r="R695" s="80"/>
      <c r="S695" s="80"/>
      <c r="T695" s="121"/>
      <c r="U695" s="122"/>
      <c r="V695" s="73"/>
    </row>
    <row r="696" spans="1:22">
      <c r="A696" s="63"/>
      <c r="B696" s="70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0"/>
      <c r="N696" s="80"/>
      <c r="O696" s="80"/>
      <c r="P696" s="80"/>
      <c r="Q696" s="80"/>
      <c r="R696" s="80"/>
      <c r="S696" s="80"/>
      <c r="T696" s="121"/>
      <c r="U696" s="122"/>
      <c r="V696" s="73"/>
    </row>
    <row r="697" spans="1:22">
      <c r="A697" s="63"/>
      <c r="B697" s="70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0"/>
      <c r="N697" s="80"/>
      <c r="O697" s="80"/>
      <c r="P697" s="80"/>
      <c r="Q697" s="80"/>
      <c r="R697" s="80"/>
      <c r="S697" s="80"/>
      <c r="T697" s="121"/>
      <c r="U697" s="122"/>
      <c r="V697" s="73"/>
    </row>
    <row r="698" spans="1:22">
      <c r="A698" s="63"/>
      <c r="B698" s="70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0"/>
      <c r="N698" s="80"/>
      <c r="O698" s="80"/>
      <c r="P698" s="80"/>
      <c r="Q698" s="80"/>
      <c r="R698" s="80"/>
      <c r="S698" s="80"/>
      <c r="T698" s="121"/>
      <c r="U698" s="122"/>
      <c r="V698" s="73"/>
    </row>
    <row r="699" spans="1:22">
      <c r="A699" s="63"/>
      <c r="B699" s="70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0"/>
      <c r="N699" s="80"/>
      <c r="O699" s="80"/>
      <c r="P699" s="80"/>
      <c r="Q699" s="80"/>
      <c r="R699" s="80"/>
      <c r="S699" s="80"/>
      <c r="T699" s="121"/>
      <c r="U699" s="122"/>
      <c r="V699" s="73"/>
    </row>
    <row r="700" spans="1:22">
      <c r="A700" s="63"/>
      <c r="B700" s="70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0"/>
      <c r="N700" s="80"/>
      <c r="O700" s="80"/>
      <c r="P700" s="80"/>
      <c r="Q700" s="80"/>
      <c r="R700" s="80"/>
      <c r="S700" s="80"/>
      <c r="T700" s="121"/>
      <c r="U700" s="122"/>
      <c r="V700" s="73"/>
    </row>
    <row r="701" spans="1:22">
      <c r="A701" s="63"/>
      <c r="B701" s="70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  <c r="S701" s="80"/>
      <c r="T701" s="121"/>
      <c r="U701" s="122"/>
      <c r="V701" s="73"/>
    </row>
    <row r="702" spans="1:22">
      <c r="A702" s="63"/>
      <c r="B702" s="70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0"/>
      <c r="N702" s="80"/>
      <c r="O702" s="80"/>
      <c r="P702" s="80"/>
      <c r="Q702" s="80"/>
      <c r="R702" s="80"/>
      <c r="S702" s="80"/>
      <c r="T702" s="121"/>
      <c r="U702" s="122"/>
      <c r="V702" s="73"/>
    </row>
    <row r="703" spans="1:22">
      <c r="A703" s="63"/>
      <c r="B703" s="70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0"/>
      <c r="N703" s="80"/>
      <c r="O703" s="80"/>
      <c r="P703" s="80"/>
      <c r="Q703" s="80"/>
      <c r="R703" s="80"/>
      <c r="S703" s="80"/>
      <c r="T703" s="121"/>
      <c r="U703" s="122"/>
      <c r="V703" s="73"/>
    </row>
    <row r="704" spans="1:22">
      <c r="A704" s="63"/>
      <c r="B704" s="70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0"/>
      <c r="N704" s="80"/>
      <c r="O704" s="80"/>
      <c r="P704" s="80"/>
      <c r="Q704" s="80"/>
      <c r="R704" s="80"/>
      <c r="S704" s="80"/>
      <c r="T704" s="121"/>
      <c r="U704" s="122"/>
      <c r="V704" s="73"/>
    </row>
    <row r="705" spans="1:22">
      <c r="A705" s="63"/>
      <c r="B705" s="70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0"/>
      <c r="N705" s="80"/>
      <c r="O705" s="80"/>
      <c r="P705" s="80"/>
      <c r="Q705" s="80"/>
      <c r="R705" s="80"/>
      <c r="S705" s="80"/>
      <c r="T705" s="121"/>
      <c r="U705" s="122"/>
      <c r="V705" s="73"/>
    </row>
    <row r="706" spans="1:22">
      <c r="A706" s="63"/>
      <c r="B706" s="70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0"/>
      <c r="N706" s="80"/>
      <c r="O706" s="80"/>
      <c r="P706" s="80"/>
      <c r="Q706" s="80"/>
      <c r="R706" s="80"/>
      <c r="S706" s="80"/>
      <c r="T706" s="121"/>
      <c r="U706" s="122"/>
      <c r="V706" s="73"/>
    </row>
    <row r="707" spans="1:22">
      <c r="A707" s="63"/>
      <c r="B707" s="70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  <c r="S707" s="80"/>
      <c r="T707" s="121"/>
      <c r="U707" s="122"/>
      <c r="V707" s="73"/>
    </row>
    <row r="708" spans="1:22">
      <c r="A708" s="63"/>
      <c r="B708" s="70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  <c r="R708" s="80"/>
      <c r="S708" s="80"/>
      <c r="T708" s="121"/>
      <c r="U708" s="122"/>
      <c r="V708" s="73"/>
    </row>
    <row r="709" spans="1:22">
      <c r="A709" s="63"/>
      <c r="B709" s="70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  <c r="R709" s="80"/>
      <c r="S709" s="80"/>
      <c r="T709" s="121"/>
      <c r="U709" s="122"/>
      <c r="V709" s="73"/>
    </row>
    <row r="710" spans="1:22">
      <c r="A710" s="63"/>
      <c r="B710" s="70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  <c r="R710" s="80"/>
      <c r="S710" s="80"/>
      <c r="T710" s="121"/>
      <c r="U710" s="122"/>
      <c r="V710" s="73"/>
    </row>
    <row r="711" spans="1:22">
      <c r="A711" s="63"/>
      <c r="B711" s="70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  <c r="R711" s="80"/>
      <c r="S711" s="80"/>
      <c r="T711" s="121"/>
      <c r="U711" s="122"/>
      <c r="V711" s="73"/>
    </row>
    <row r="712" spans="1:22">
      <c r="A712" s="63"/>
      <c r="B712" s="70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  <c r="R712" s="80"/>
      <c r="S712" s="80"/>
      <c r="T712" s="121"/>
      <c r="U712" s="122"/>
      <c r="V712" s="73"/>
    </row>
    <row r="713" spans="1:22">
      <c r="A713" s="63"/>
      <c r="B713" s="70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  <c r="R713" s="80"/>
      <c r="S713" s="80"/>
      <c r="T713" s="121"/>
      <c r="U713" s="122"/>
      <c r="V713" s="73"/>
    </row>
    <row r="714" spans="1:22">
      <c r="A714" s="63"/>
      <c r="B714" s="70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  <c r="R714" s="80"/>
      <c r="S714" s="80"/>
      <c r="T714" s="121"/>
      <c r="U714" s="122"/>
      <c r="V714" s="73"/>
    </row>
    <row r="715" spans="1:22">
      <c r="A715" s="63"/>
      <c r="B715" s="70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  <c r="S715" s="80"/>
      <c r="T715" s="121"/>
      <c r="U715" s="122"/>
      <c r="V715" s="73"/>
    </row>
    <row r="716" spans="1:22">
      <c r="A716" s="63"/>
      <c r="B716" s="70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  <c r="R716" s="80"/>
      <c r="S716" s="80"/>
      <c r="T716" s="121"/>
      <c r="U716" s="122"/>
      <c r="V716" s="73"/>
    </row>
    <row r="717" spans="1:22">
      <c r="A717" s="63"/>
      <c r="B717" s="70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  <c r="R717" s="80"/>
      <c r="S717" s="80"/>
      <c r="T717" s="121"/>
      <c r="U717" s="122"/>
      <c r="V717" s="73"/>
    </row>
    <row r="718" spans="1:22">
      <c r="A718" s="63"/>
      <c r="B718" s="70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  <c r="R718" s="80"/>
      <c r="S718" s="80"/>
      <c r="T718" s="121"/>
      <c r="U718" s="122"/>
      <c r="V718" s="73"/>
    </row>
    <row r="719" spans="1:22">
      <c r="A719" s="63"/>
      <c r="B719" s="70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  <c r="R719" s="80"/>
      <c r="S719" s="80"/>
      <c r="T719" s="121"/>
      <c r="U719" s="122"/>
      <c r="V719" s="73"/>
    </row>
    <row r="720" spans="1:22">
      <c r="A720" s="63"/>
      <c r="B720" s="70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  <c r="R720" s="80"/>
      <c r="S720" s="80"/>
      <c r="T720" s="121"/>
      <c r="U720" s="122"/>
      <c r="V720" s="73"/>
    </row>
    <row r="721" spans="1:22">
      <c r="A721" s="63"/>
      <c r="B721" s="70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  <c r="R721" s="80"/>
      <c r="S721" s="80"/>
      <c r="T721" s="121"/>
      <c r="U721" s="122"/>
      <c r="V721" s="73"/>
    </row>
    <row r="722" spans="1:22">
      <c r="A722" s="63"/>
      <c r="B722" s="70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  <c r="R722" s="80"/>
      <c r="S722" s="80"/>
      <c r="T722" s="121"/>
      <c r="U722" s="122"/>
      <c r="V722" s="73"/>
    </row>
    <row r="723" spans="1:22">
      <c r="A723" s="63"/>
      <c r="B723" s="70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0"/>
      <c r="N723" s="80"/>
      <c r="O723" s="80"/>
      <c r="P723" s="80"/>
      <c r="Q723" s="80"/>
      <c r="R723" s="80"/>
      <c r="S723" s="80"/>
      <c r="T723" s="121"/>
      <c r="U723" s="122"/>
      <c r="V723" s="73"/>
    </row>
    <row r="724" spans="1:22">
      <c r="A724" s="63"/>
      <c r="B724" s="70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  <c r="S724" s="80"/>
      <c r="T724" s="121"/>
      <c r="U724" s="122"/>
      <c r="V724" s="73"/>
    </row>
    <row r="725" spans="1:22">
      <c r="A725" s="63"/>
      <c r="B725" s="70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0"/>
      <c r="N725" s="80"/>
      <c r="O725" s="80"/>
      <c r="P725" s="80"/>
      <c r="Q725" s="80"/>
      <c r="R725" s="80"/>
      <c r="S725" s="80"/>
      <c r="T725" s="121"/>
      <c r="U725" s="122"/>
      <c r="V725" s="73"/>
    </row>
    <row r="726" spans="1:22">
      <c r="A726" s="63"/>
      <c r="B726" s="70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0"/>
      <c r="N726" s="80"/>
      <c r="O726" s="80"/>
      <c r="P726" s="80"/>
      <c r="Q726" s="80"/>
      <c r="R726" s="80"/>
      <c r="S726" s="80"/>
      <c r="T726" s="121"/>
      <c r="U726" s="122"/>
      <c r="V726" s="73"/>
    </row>
    <row r="727" spans="1:22">
      <c r="A727" s="63"/>
      <c r="B727" s="70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  <c r="S727" s="80"/>
      <c r="T727" s="121"/>
      <c r="U727" s="122"/>
      <c r="V727" s="73"/>
    </row>
    <row r="728" spans="1:22">
      <c r="A728" s="63"/>
      <c r="B728" s="70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0"/>
      <c r="N728" s="80"/>
      <c r="O728" s="80"/>
      <c r="P728" s="80"/>
      <c r="Q728" s="80"/>
      <c r="R728" s="80"/>
      <c r="S728" s="80"/>
      <c r="T728" s="121"/>
      <c r="U728" s="122"/>
      <c r="V728" s="73"/>
    </row>
    <row r="729" spans="1:22">
      <c r="A729" s="63"/>
      <c r="B729" s="70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0"/>
      <c r="N729" s="80"/>
      <c r="O729" s="80"/>
      <c r="P729" s="80"/>
      <c r="Q729" s="80"/>
      <c r="R729" s="80"/>
      <c r="S729" s="80"/>
      <c r="T729" s="121"/>
      <c r="U729" s="122"/>
      <c r="V729" s="73"/>
    </row>
    <row r="730" spans="1:22">
      <c r="A730" s="63"/>
      <c r="B730" s="70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  <c r="S730" s="80"/>
      <c r="T730" s="121"/>
      <c r="U730" s="122"/>
      <c r="V730" s="73"/>
    </row>
    <row r="731" spans="1:22">
      <c r="A731" s="63"/>
      <c r="B731" s="70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0"/>
      <c r="N731" s="80"/>
      <c r="O731" s="80"/>
      <c r="P731" s="80"/>
      <c r="Q731" s="80"/>
      <c r="R731" s="80"/>
      <c r="S731" s="80"/>
      <c r="T731" s="121"/>
      <c r="U731" s="122"/>
      <c r="V731" s="73"/>
    </row>
    <row r="732" spans="1:22">
      <c r="A732" s="63"/>
      <c r="B732" s="70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0"/>
      <c r="N732" s="80"/>
      <c r="O732" s="80"/>
      <c r="P732" s="80"/>
      <c r="Q732" s="80"/>
      <c r="R732" s="80"/>
      <c r="S732" s="80"/>
      <c r="T732" s="121"/>
      <c r="U732" s="122"/>
      <c r="V732" s="73"/>
    </row>
    <row r="733" spans="1:22">
      <c r="A733" s="63"/>
      <c r="B733" s="70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0"/>
      <c r="N733" s="80"/>
      <c r="O733" s="80"/>
      <c r="P733" s="80"/>
      <c r="Q733" s="80"/>
      <c r="R733" s="80"/>
      <c r="S733" s="80"/>
      <c r="T733" s="121"/>
      <c r="U733" s="122"/>
      <c r="V733" s="73"/>
    </row>
    <row r="734" spans="1:22">
      <c r="A734" s="63"/>
      <c r="B734" s="70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0"/>
      <c r="N734" s="80"/>
      <c r="O734" s="80"/>
      <c r="P734" s="80"/>
      <c r="Q734" s="80"/>
      <c r="R734" s="80"/>
      <c r="S734" s="80"/>
      <c r="T734" s="121"/>
      <c r="U734" s="122"/>
      <c r="V734" s="73"/>
    </row>
    <row r="735" spans="1:22">
      <c r="A735" s="63"/>
      <c r="B735" s="70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0"/>
      <c r="N735" s="80"/>
      <c r="O735" s="80"/>
      <c r="P735" s="80"/>
      <c r="Q735" s="80"/>
      <c r="R735" s="80"/>
      <c r="S735" s="80"/>
      <c r="T735" s="121"/>
      <c r="U735" s="122"/>
      <c r="V735" s="73"/>
    </row>
    <row r="736" spans="1:22">
      <c r="A736" s="63"/>
      <c r="B736" s="70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0"/>
      <c r="N736" s="80"/>
      <c r="O736" s="80"/>
      <c r="P736" s="80"/>
      <c r="Q736" s="80"/>
      <c r="R736" s="80"/>
      <c r="S736" s="80"/>
      <c r="T736" s="121"/>
      <c r="U736" s="122"/>
      <c r="V736" s="73"/>
    </row>
    <row r="737" spans="1:22">
      <c r="A737" s="63"/>
      <c r="B737" s="70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0"/>
      <c r="N737" s="80"/>
      <c r="O737" s="80"/>
      <c r="P737" s="80"/>
      <c r="Q737" s="80"/>
      <c r="R737" s="80"/>
      <c r="S737" s="80"/>
      <c r="T737" s="121"/>
      <c r="U737" s="122"/>
      <c r="V737" s="73"/>
    </row>
    <row r="738" spans="1:22">
      <c r="A738" s="63"/>
      <c r="B738" s="70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  <c r="R738" s="80"/>
      <c r="S738" s="80"/>
      <c r="T738" s="121"/>
      <c r="U738" s="122"/>
      <c r="V738" s="73"/>
    </row>
    <row r="739" spans="1:22">
      <c r="A739" s="63"/>
      <c r="B739" s="70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  <c r="R739" s="80"/>
      <c r="S739" s="80"/>
      <c r="T739" s="121"/>
      <c r="U739" s="122"/>
      <c r="V739" s="73"/>
    </row>
    <row r="740" spans="1:22">
      <c r="A740" s="63"/>
      <c r="B740" s="70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  <c r="R740" s="80"/>
      <c r="S740" s="80"/>
      <c r="T740" s="121"/>
      <c r="U740" s="122"/>
      <c r="V740" s="73"/>
    </row>
    <row r="741" spans="1:22">
      <c r="A741" s="63"/>
      <c r="B741" s="70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  <c r="S741" s="80"/>
      <c r="T741" s="121"/>
      <c r="U741" s="122"/>
      <c r="V741" s="73"/>
    </row>
    <row r="742" spans="1:22">
      <c r="A742" s="63"/>
      <c r="B742" s="70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  <c r="R742" s="80"/>
      <c r="S742" s="80"/>
      <c r="T742" s="121"/>
      <c r="U742" s="122"/>
      <c r="V742" s="73"/>
    </row>
    <row r="743" spans="1:22">
      <c r="A743" s="63"/>
      <c r="B743" s="70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  <c r="R743" s="80"/>
      <c r="S743" s="80"/>
      <c r="T743" s="121"/>
      <c r="U743" s="122"/>
      <c r="V743" s="73"/>
    </row>
    <row r="744" spans="1:22">
      <c r="A744" s="63"/>
      <c r="B744" s="70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  <c r="R744" s="80"/>
      <c r="S744" s="80"/>
      <c r="T744" s="121"/>
      <c r="U744" s="122"/>
      <c r="V744" s="73"/>
    </row>
    <row r="745" spans="1:22">
      <c r="A745" s="63"/>
      <c r="B745" s="70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  <c r="R745" s="80"/>
      <c r="S745" s="80"/>
      <c r="T745" s="121"/>
      <c r="U745" s="122"/>
      <c r="V745" s="73"/>
    </row>
    <row r="746" spans="1:22">
      <c r="A746" s="63"/>
      <c r="B746" s="70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  <c r="R746" s="80"/>
      <c r="S746" s="80"/>
      <c r="T746" s="121"/>
      <c r="U746" s="122"/>
      <c r="V746" s="73"/>
    </row>
    <row r="747" spans="1:22">
      <c r="A747" s="63"/>
      <c r="B747" s="70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  <c r="S747" s="80"/>
      <c r="T747" s="121"/>
      <c r="U747" s="122"/>
      <c r="V747" s="73"/>
    </row>
    <row r="748" spans="1:22">
      <c r="A748" s="63"/>
      <c r="B748" s="70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  <c r="R748" s="80"/>
      <c r="S748" s="80"/>
      <c r="T748" s="121"/>
      <c r="U748" s="122"/>
      <c r="V748" s="73"/>
    </row>
    <row r="749" spans="1:22">
      <c r="A749" s="63"/>
      <c r="B749" s="70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  <c r="R749" s="80"/>
      <c r="S749" s="80"/>
      <c r="T749" s="121"/>
      <c r="U749" s="122"/>
      <c r="V749" s="73"/>
    </row>
    <row r="750" spans="1:22">
      <c r="A750" s="63"/>
      <c r="B750" s="70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  <c r="R750" s="80"/>
      <c r="S750" s="80"/>
      <c r="T750" s="121"/>
      <c r="U750" s="122"/>
      <c r="V750" s="73"/>
    </row>
    <row r="751" spans="1:22">
      <c r="A751" s="63"/>
      <c r="B751" s="70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  <c r="R751" s="80"/>
      <c r="S751" s="80"/>
      <c r="T751" s="121"/>
      <c r="U751" s="122"/>
      <c r="V751" s="73"/>
    </row>
    <row r="752" spans="1:22">
      <c r="A752" s="63"/>
      <c r="B752" s="70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  <c r="R752" s="80"/>
      <c r="S752" s="80"/>
      <c r="T752" s="121"/>
      <c r="U752" s="122"/>
      <c r="V752" s="73"/>
    </row>
    <row r="753" spans="1:22">
      <c r="A753" s="63"/>
      <c r="B753" s="70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  <c r="S753" s="80"/>
      <c r="T753" s="121"/>
      <c r="U753" s="122"/>
      <c r="V753" s="73"/>
    </row>
    <row r="754" spans="1:22">
      <c r="A754" s="63"/>
      <c r="B754" s="70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0"/>
      <c r="N754" s="80"/>
      <c r="O754" s="80"/>
      <c r="P754" s="80"/>
      <c r="Q754" s="80"/>
      <c r="R754" s="80"/>
      <c r="S754" s="80"/>
      <c r="T754" s="121"/>
      <c r="U754" s="122"/>
      <c r="V754" s="73"/>
    </row>
    <row r="755" spans="1:22">
      <c r="A755" s="63"/>
      <c r="B755" s="70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0"/>
      <c r="N755" s="80"/>
      <c r="O755" s="80"/>
      <c r="P755" s="80"/>
      <c r="Q755" s="80"/>
      <c r="R755" s="80"/>
      <c r="S755" s="80"/>
      <c r="T755" s="121"/>
      <c r="U755" s="122"/>
      <c r="V755" s="73"/>
    </row>
    <row r="756" spans="1:22">
      <c r="A756" s="63"/>
      <c r="B756" s="70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0"/>
      <c r="N756" s="80"/>
      <c r="O756" s="80"/>
      <c r="P756" s="80"/>
      <c r="Q756" s="80"/>
      <c r="R756" s="80"/>
      <c r="S756" s="80"/>
      <c r="T756" s="121"/>
      <c r="U756" s="122"/>
      <c r="V756" s="73"/>
    </row>
    <row r="757" spans="1:22">
      <c r="A757" s="63"/>
      <c r="B757" s="70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0"/>
      <c r="N757" s="80"/>
      <c r="O757" s="80"/>
      <c r="P757" s="80"/>
      <c r="Q757" s="80"/>
      <c r="R757" s="80"/>
      <c r="S757" s="80"/>
      <c r="T757" s="121"/>
      <c r="U757" s="122"/>
      <c r="V757" s="73"/>
    </row>
    <row r="758" spans="1:22">
      <c r="A758" s="63"/>
      <c r="B758" s="70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  <c r="S758" s="80"/>
      <c r="T758" s="121"/>
      <c r="U758" s="122"/>
      <c r="V758" s="73"/>
    </row>
    <row r="759" spans="1:22">
      <c r="A759" s="63"/>
      <c r="B759" s="70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0"/>
      <c r="N759" s="80"/>
      <c r="O759" s="80"/>
      <c r="P759" s="80"/>
      <c r="Q759" s="80"/>
      <c r="R759" s="80"/>
      <c r="S759" s="80"/>
      <c r="T759" s="121"/>
      <c r="U759" s="122"/>
      <c r="V759" s="73"/>
    </row>
    <row r="760" spans="1:22">
      <c r="A760" s="63"/>
      <c r="B760" s="70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0"/>
      <c r="N760" s="80"/>
      <c r="O760" s="80"/>
      <c r="P760" s="80"/>
      <c r="Q760" s="80"/>
      <c r="R760" s="80"/>
      <c r="S760" s="80"/>
      <c r="T760" s="121"/>
      <c r="U760" s="122"/>
      <c r="V760" s="73"/>
    </row>
    <row r="761" spans="1:22">
      <c r="A761" s="63"/>
      <c r="B761" s="70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0"/>
      <c r="N761" s="80"/>
      <c r="O761" s="80"/>
      <c r="P761" s="80"/>
      <c r="Q761" s="80"/>
      <c r="R761" s="80"/>
      <c r="S761" s="80"/>
      <c r="T761" s="121"/>
      <c r="U761" s="122"/>
      <c r="V761" s="73"/>
    </row>
    <row r="762" spans="1:22">
      <c r="A762" s="63"/>
      <c r="B762" s="70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0"/>
      <c r="N762" s="80"/>
      <c r="O762" s="80"/>
      <c r="P762" s="80"/>
      <c r="Q762" s="80"/>
      <c r="R762" s="80"/>
      <c r="S762" s="80"/>
      <c r="T762" s="121"/>
      <c r="U762" s="122"/>
      <c r="V762" s="73"/>
    </row>
    <row r="763" spans="1:22">
      <c r="A763" s="63"/>
      <c r="B763" s="70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  <c r="S763" s="80"/>
      <c r="T763" s="121"/>
      <c r="U763" s="122"/>
      <c r="V763" s="73"/>
    </row>
    <row r="764" spans="1:22">
      <c r="A764" s="63"/>
      <c r="B764" s="70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0"/>
      <c r="N764" s="80"/>
      <c r="O764" s="80"/>
      <c r="P764" s="80"/>
      <c r="Q764" s="80"/>
      <c r="R764" s="80"/>
      <c r="S764" s="80"/>
      <c r="T764" s="121"/>
      <c r="U764" s="122"/>
      <c r="V764" s="73"/>
    </row>
    <row r="765" spans="1:22">
      <c r="A765" s="63"/>
      <c r="B765" s="70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0"/>
      <c r="N765" s="80"/>
      <c r="O765" s="80"/>
      <c r="P765" s="80"/>
      <c r="Q765" s="80"/>
      <c r="R765" s="80"/>
      <c r="S765" s="80"/>
      <c r="T765" s="121"/>
      <c r="U765" s="122"/>
      <c r="V765" s="73"/>
    </row>
    <row r="766" spans="1:22">
      <c r="A766" s="63"/>
      <c r="B766" s="70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0"/>
      <c r="N766" s="80"/>
      <c r="O766" s="80"/>
      <c r="P766" s="80"/>
      <c r="Q766" s="80"/>
      <c r="R766" s="80"/>
      <c r="S766" s="80"/>
      <c r="T766" s="121"/>
      <c r="U766" s="122"/>
      <c r="V766" s="73"/>
    </row>
    <row r="767" spans="1:22">
      <c r="A767" s="63"/>
      <c r="B767" s="70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  <c r="S767" s="80"/>
      <c r="T767" s="121"/>
      <c r="U767" s="122"/>
      <c r="V767" s="73"/>
    </row>
    <row r="768" spans="1:22">
      <c r="A768" s="63"/>
      <c r="B768" s="70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  <c r="R768" s="80"/>
      <c r="S768" s="80"/>
      <c r="T768" s="121"/>
      <c r="U768" s="122"/>
      <c r="V768" s="73"/>
    </row>
    <row r="769" spans="1:22">
      <c r="A769" s="63"/>
      <c r="B769" s="70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  <c r="R769" s="80"/>
      <c r="S769" s="80"/>
      <c r="T769" s="121"/>
      <c r="U769" s="122"/>
      <c r="V769" s="73"/>
    </row>
    <row r="770" spans="1:22">
      <c r="A770" s="63"/>
      <c r="B770" s="70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  <c r="R770" s="80"/>
      <c r="S770" s="80"/>
      <c r="T770" s="121"/>
      <c r="U770" s="122"/>
      <c r="V770" s="73"/>
    </row>
    <row r="771" spans="1:22">
      <c r="A771" s="63"/>
      <c r="B771" s="70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  <c r="R771" s="80"/>
      <c r="S771" s="80"/>
      <c r="T771" s="121"/>
      <c r="U771" s="122"/>
      <c r="V771" s="73"/>
    </row>
    <row r="772" spans="1:22">
      <c r="A772" s="63"/>
      <c r="B772" s="70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  <c r="R772" s="80"/>
      <c r="S772" s="80"/>
      <c r="T772" s="121"/>
      <c r="U772" s="122"/>
      <c r="V772" s="73"/>
    </row>
    <row r="773" spans="1:22">
      <c r="A773" s="63"/>
      <c r="B773" s="70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  <c r="R773" s="80"/>
      <c r="S773" s="80"/>
      <c r="T773" s="121"/>
      <c r="U773" s="122"/>
      <c r="V773" s="73"/>
    </row>
    <row r="774" spans="1:22">
      <c r="A774" s="63"/>
      <c r="B774" s="70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  <c r="R774" s="80"/>
      <c r="S774" s="80"/>
      <c r="T774" s="121"/>
      <c r="U774" s="122"/>
      <c r="V774" s="73"/>
    </row>
    <row r="775" spans="1:22">
      <c r="A775" s="63"/>
      <c r="B775" s="70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  <c r="R775" s="80"/>
      <c r="S775" s="80"/>
      <c r="T775" s="121"/>
      <c r="U775" s="122"/>
      <c r="V775" s="73"/>
    </row>
    <row r="776" spans="1:22">
      <c r="A776" s="63"/>
      <c r="B776" s="70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  <c r="R776" s="80"/>
      <c r="S776" s="80"/>
      <c r="T776" s="121"/>
      <c r="U776" s="122"/>
      <c r="V776" s="73"/>
    </row>
    <row r="777" spans="1:22">
      <c r="A777" s="63"/>
      <c r="B777" s="70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  <c r="R777" s="80"/>
      <c r="S777" s="80"/>
      <c r="T777" s="121"/>
      <c r="U777" s="122"/>
      <c r="V777" s="73"/>
    </row>
    <row r="778" spans="1:22">
      <c r="A778" s="63"/>
      <c r="B778" s="70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  <c r="R778" s="80"/>
      <c r="S778" s="80"/>
      <c r="T778" s="121"/>
      <c r="U778" s="122"/>
      <c r="V778" s="73"/>
    </row>
    <row r="779" spans="1:22">
      <c r="A779" s="63"/>
      <c r="B779" s="70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  <c r="R779" s="80"/>
      <c r="S779" s="80"/>
      <c r="T779" s="121"/>
      <c r="U779" s="122"/>
      <c r="V779" s="73"/>
    </row>
    <row r="780" spans="1:22">
      <c r="A780" s="63"/>
      <c r="B780" s="70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  <c r="R780" s="80"/>
      <c r="S780" s="80"/>
      <c r="T780" s="121"/>
      <c r="U780" s="122"/>
      <c r="V780" s="73"/>
    </row>
    <row r="781" spans="1:22">
      <c r="A781" s="63"/>
      <c r="B781" s="70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  <c r="R781" s="80"/>
      <c r="S781" s="80"/>
      <c r="T781" s="121"/>
      <c r="U781" s="122"/>
      <c r="V781" s="73"/>
    </row>
    <row r="782" spans="1:22">
      <c r="A782" s="63"/>
      <c r="B782" s="70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  <c r="R782" s="80"/>
      <c r="S782" s="80"/>
      <c r="T782" s="121"/>
      <c r="U782" s="122"/>
      <c r="V782" s="73"/>
    </row>
    <row r="783" spans="1:22">
      <c r="A783" s="63"/>
      <c r="B783" s="70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0"/>
      <c r="N783" s="80"/>
      <c r="O783" s="80"/>
      <c r="P783" s="80"/>
      <c r="Q783" s="80"/>
      <c r="R783" s="80"/>
      <c r="S783" s="80"/>
      <c r="T783" s="121"/>
      <c r="U783" s="122"/>
      <c r="V783" s="73"/>
    </row>
    <row r="784" spans="1:22">
      <c r="A784" s="63"/>
      <c r="B784" s="70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0"/>
      <c r="N784" s="80"/>
      <c r="O784" s="80"/>
      <c r="P784" s="80"/>
      <c r="Q784" s="80"/>
      <c r="R784" s="80"/>
      <c r="S784" s="80"/>
      <c r="T784" s="121"/>
      <c r="U784" s="122"/>
      <c r="V784" s="73"/>
    </row>
    <row r="785" spans="1:22">
      <c r="A785" s="63"/>
      <c r="B785" s="70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0"/>
      <c r="N785" s="80"/>
      <c r="O785" s="80"/>
      <c r="P785" s="80"/>
      <c r="Q785" s="80"/>
      <c r="R785" s="80"/>
      <c r="S785" s="80"/>
      <c r="T785" s="121"/>
      <c r="U785" s="122"/>
      <c r="V785" s="73"/>
    </row>
    <row r="786" spans="1:22">
      <c r="A786" s="63"/>
      <c r="B786" s="70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0"/>
      <c r="N786" s="80"/>
      <c r="O786" s="80"/>
      <c r="P786" s="80"/>
      <c r="Q786" s="80"/>
      <c r="R786" s="80"/>
      <c r="S786" s="80"/>
      <c r="T786" s="121"/>
      <c r="U786" s="122"/>
      <c r="V786" s="73"/>
    </row>
    <row r="787" spans="1:22">
      <c r="A787" s="63"/>
      <c r="B787" s="70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  <c r="S787" s="80"/>
      <c r="T787" s="121"/>
      <c r="U787" s="122"/>
      <c r="V787" s="73"/>
    </row>
    <row r="788" spans="1:22">
      <c r="A788" s="63"/>
      <c r="B788" s="70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0"/>
      <c r="N788" s="80"/>
      <c r="O788" s="80"/>
      <c r="P788" s="80"/>
      <c r="Q788" s="80"/>
      <c r="R788" s="80"/>
      <c r="S788" s="80"/>
      <c r="T788" s="121"/>
      <c r="U788" s="122"/>
      <c r="V788" s="73"/>
    </row>
    <row r="789" spans="1:22">
      <c r="A789" s="63"/>
      <c r="B789" s="70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  <c r="S789" s="80"/>
      <c r="T789" s="121"/>
      <c r="U789" s="122"/>
      <c r="V789" s="73"/>
    </row>
    <row r="790" spans="1:22">
      <c r="A790" s="63"/>
      <c r="B790" s="70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0"/>
      <c r="N790" s="80"/>
      <c r="O790" s="80"/>
      <c r="P790" s="80"/>
      <c r="Q790" s="80"/>
      <c r="R790" s="80"/>
      <c r="S790" s="80"/>
      <c r="T790" s="121"/>
      <c r="U790" s="122"/>
      <c r="V790" s="73"/>
    </row>
    <row r="791" spans="1:22">
      <c r="A791" s="63"/>
      <c r="B791" s="70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0"/>
      <c r="N791" s="80"/>
      <c r="O791" s="80"/>
      <c r="P791" s="80"/>
      <c r="Q791" s="80"/>
      <c r="R791" s="80"/>
      <c r="S791" s="80"/>
      <c r="T791" s="121"/>
      <c r="U791" s="122"/>
      <c r="V791" s="73"/>
    </row>
    <row r="792" spans="1:22">
      <c r="A792" s="63"/>
      <c r="B792" s="70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0"/>
      <c r="N792" s="80"/>
      <c r="O792" s="80"/>
      <c r="P792" s="80"/>
      <c r="Q792" s="80"/>
      <c r="R792" s="80"/>
      <c r="S792" s="80"/>
      <c r="T792" s="121"/>
      <c r="U792" s="122"/>
      <c r="V792" s="73"/>
    </row>
    <row r="793" spans="1:22">
      <c r="A793" s="63"/>
      <c r="B793" s="70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0"/>
      <c r="N793" s="80"/>
      <c r="O793" s="80"/>
      <c r="P793" s="80"/>
      <c r="Q793" s="80"/>
      <c r="R793" s="80"/>
      <c r="S793" s="80"/>
      <c r="T793" s="121"/>
      <c r="U793" s="122"/>
      <c r="V793" s="73"/>
    </row>
    <row r="794" spans="1:22">
      <c r="A794" s="63"/>
      <c r="B794" s="70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121"/>
      <c r="U794" s="122"/>
      <c r="V794" s="73"/>
    </row>
    <row r="795" spans="1:22">
      <c r="A795" s="63"/>
      <c r="B795" s="70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0"/>
      <c r="N795" s="80"/>
      <c r="O795" s="80"/>
      <c r="P795" s="80"/>
      <c r="Q795" s="80"/>
      <c r="R795" s="80"/>
      <c r="S795" s="80"/>
      <c r="T795" s="121"/>
      <c r="U795" s="122"/>
      <c r="V795" s="73"/>
    </row>
    <row r="796" spans="1:22">
      <c r="A796" s="63"/>
      <c r="B796" s="70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0"/>
      <c r="N796" s="80"/>
      <c r="O796" s="80"/>
      <c r="P796" s="80"/>
      <c r="Q796" s="80"/>
      <c r="R796" s="80"/>
      <c r="S796" s="80"/>
      <c r="T796" s="121"/>
      <c r="U796" s="122"/>
      <c r="V796" s="73"/>
    </row>
    <row r="797" spans="1:22">
      <c r="A797" s="63"/>
      <c r="B797" s="70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0"/>
      <c r="N797" s="80"/>
      <c r="O797" s="80"/>
      <c r="P797" s="80"/>
      <c r="Q797" s="80"/>
      <c r="R797" s="80"/>
      <c r="S797" s="80"/>
      <c r="T797" s="121"/>
      <c r="U797" s="122"/>
      <c r="V797" s="73"/>
    </row>
    <row r="798" spans="1:22">
      <c r="A798" s="63"/>
      <c r="B798" s="70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  <c r="R798" s="80"/>
      <c r="S798" s="80"/>
      <c r="T798" s="121"/>
      <c r="U798" s="122"/>
      <c r="V798" s="73"/>
    </row>
    <row r="799" spans="1:22">
      <c r="A799" s="63"/>
      <c r="B799" s="70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  <c r="R799" s="80"/>
      <c r="S799" s="80"/>
      <c r="T799" s="121"/>
      <c r="U799" s="122"/>
      <c r="V799" s="73"/>
    </row>
    <row r="800" spans="1:22">
      <c r="A800" s="63"/>
      <c r="B800" s="70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  <c r="R800" s="80"/>
      <c r="S800" s="80"/>
      <c r="T800" s="121"/>
      <c r="U800" s="122"/>
      <c r="V800" s="73"/>
    </row>
    <row r="801" spans="1:22">
      <c r="A801" s="63"/>
      <c r="B801" s="70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  <c r="R801" s="80"/>
      <c r="S801" s="80"/>
      <c r="T801" s="121"/>
      <c r="U801" s="122"/>
      <c r="V801" s="73"/>
    </row>
    <row r="802" spans="1:22">
      <c r="A802" s="63"/>
      <c r="B802" s="70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  <c r="R802" s="80"/>
      <c r="S802" s="80"/>
      <c r="T802" s="121"/>
      <c r="U802" s="122"/>
      <c r="V802" s="73"/>
    </row>
    <row r="803" spans="1:22">
      <c r="A803" s="63"/>
      <c r="B803" s="70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  <c r="S803" s="80"/>
      <c r="T803" s="121"/>
      <c r="U803" s="122"/>
      <c r="V803" s="73"/>
    </row>
    <row r="804" spans="1:22">
      <c r="A804" s="63"/>
      <c r="B804" s="70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  <c r="R804" s="80"/>
      <c r="S804" s="80"/>
      <c r="T804" s="121"/>
      <c r="U804" s="122"/>
      <c r="V804" s="73"/>
    </row>
    <row r="805" spans="1:22">
      <c r="A805" s="63"/>
      <c r="B805" s="70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  <c r="R805" s="80"/>
      <c r="S805" s="80"/>
      <c r="T805" s="121"/>
      <c r="U805" s="122"/>
      <c r="V805" s="73"/>
    </row>
    <row r="806" spans="1:22">
      <c r="A806" s="63"/>
      <c r="B806" s="70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  <c r="S806" s="80"/>
      <c r="T806" s="121"/>
      <c r="U806" s="122"/>
      <c r="V806" s="73"/>
    </row>
    <row r="807" spans="1:22">
      <c r="A807" s="63"/>
      <c r="B807" s="70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  <c r="R807" s="80"/>
      <c r="S807" s="80"/>
      <c r="T807" s="121"/>
      <c r="U807" s="122"/>
      <c r="V807" s="73"/>
    </row>
    <row r="808" spans="1:22">
      <c r="A808" s="63"/>
      <c r="B808" s="70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  <c r="R808" s="80"/>
      <c r="S808" s="80"/>
      <c r="T808" s="121"/>
      <c r="U808" s="122"/>
      <c r="V808" s="73"/>
    </row>
    <row r="809" spans="1:22">
      <c r="A809" s="63"/>
      <c r="B809" s="70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  <c r="R809" s="80"/>
      <c r="S809" s="80"/>
      <c r="T809" s="121"/>
      <c r="U809" s="122"/>
      <c r="V809" s="73"/>
    </row>
    <row r="810" spans="1:22">
      <c r="A810" s="63"/>
      <c r="B810" s="70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  <c r="S810" s="80"/>
      <c r="T810" s="121"/>
      <c r="U810" s="122"/>
      <c r="V810" s="73"/>
    </row>
    <row r="811" spans="1:22">
      <c r="A811" s="63"/>
      <c r="B811" s="70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  <c r="R811" s="80"/>
      <c r="S811" s="80"/>
      <c r="T811" s="121"/>
      <c r="U811" s="122"/>
      <c r="V811" s="73"/>
    </row>
    <row r="812" spans="1:22">
      <c r="A812" s="63"/>
      <c r="B812" s="70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  <c r="R812" s="80"/>
      <c r="S812" s="80"/>
      <c r="T812" s="121"/>
      <c r="U812" s="122"/>
      <c r="V812" s="73"/>
    </row>
    <row r="813" spans="1:22">
      <c r="A813" s="63"/>
      <c r="B813" s="70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0"/>
      <c r="N813" s="80"/>
      <c r="O813" s="80"/>
      <c r="P813" s="80"/>
      <c r="Q813" s="80"/>
      <c r="R813" s="80"/>
      <c r="S813" s="80"/>
      <c r="T813" s="121"/>
      <c r="U813" s="122"/>
      <c r="V813" s="73"/>
    </row>
    <row r="814" spans="1:22">
      <c r="A814" s="63"/>
      <c r="B814" s="70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0"/>
      <c r="N814" s="80"/>
      <c r="O814" s="80"/>
      <c r="P814" s="80"/>
      <c r="Q814" s="80"/>
      <c r="R814" s="80"/>
      <c r="S814" s="80"/>
      <c r="T814" s="121"/>
      <c r="U814" s="122"/>
      <c r="V814" s="73"/>
    </row>
    <row r="815" spans="1:22">
      <c r="A815" s="63"/>
      <c r="B815" s="70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0"/>
      <c r="N815" s="80"/>
      <c r="O815" s="80"/>
      <c r="P815" s="80"/>
      <c r="Q815" s="80"/>
      <c r="R815" s="80"/>
      <c r="S815" s="80"/>
      <c r="T815" s="121"/>
      <c r="U815" s="122"/>
      <c r="V815" s="73"/>
    </row>
    <row r="816" spans="1:22">
      <c r="A816" s="63"/>
      <c r="B816" s="70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  <c r="R816" s="80"/>
      <c r="S816" s="80"/>
      <c r="T816" s="121"/>
      <c r="U816" s="122"/>
      <c r="V816" s="73"/>
    </row>
    <row r="817" spans="1:22">
      <c r="A817" s="63"/>
      <c r="B817" s="70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  <c r="R817" s="80"/>
      <c r="S817" s="80"/>
      <c r="T817" s="121"/>
      <c r="U817" s="122"/>
      <c r="V817" s="73"/>
    </row>
    <row r="818" spans="1:22">
      <c r="A818" s="63"/>
      <c r="B818" s="70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  <c r="S818" s="80"/>
      <c r="T818" s="121"/>
      <c r="U818" s="122"/>
      <c r="V818" s="73"/>
    </row>
    <row r="819" spans="1:22">
      <c r="A819" s="63"/>
      <c r="B819" s="70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  <c r="R819" s="80"/>
      <c r="S819" s="80"/>
      <c r="T819" s="121"/>
      <c r="U819" s="122"/>
      <c r="V819" s="73"/>
    </row>
    <row r="820" spans="1:22">
      <c r="A820" s="63"/>
      <c r="B820" s="70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  <c r="R820" s="80"/>
      <c r="S820" s="80"/>
      <c r="T820" s="121"/>
      <c r="U820" s="122"/>
      <c r="V820" s="73"/>
    </row>
    <row r="821" spans="1:22">
      <c r="A821" s="63"/>
      <c r="B821" s="70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  <c r="R821" s="80"/>
      <c r="S821" s="80"/>
      <c r="T821" s="121"/>
      <c r="U821" s="122"/>
      <c r="V821" s="73"/>
    </row>
    <row r="822" spans="1:22">
      <c r="A822" s="63"/>
      <c r="B822" s="70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  <c r="R822" s="80"/>
      <c r="S822" s="80"/>
      <c r="T822" s="121"/>
      <c r="U822" s="122"/>
      <c r="V822" s="73"/>
    </row>
    <row r="823" spans="1:22">
      <c r="A823" s="63"/>
      <c r="B823" s="70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  <c r="S823" s="80"/>
      <c r="T823" s="121"/>
      <c r="U823" s="122"/>
      <c r="V823" s="73"/>
    </row>
    <row r="824" spans="1:22">
      <c r="A824" s="63"/>
      <c r="B824" s="70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  <c r="R824" s="80"/>
      <c r="S824" s="80"/>
      <c r="T824" s="121"/>
      <c r="U824" s="122"/>
      <c r="V824" s="73"/>
    </row>
    <row r="825" spans="1:22">
      <c r="A825" s="63"/>
      <c r="B825" s="70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  <c r="R825" s="80"/>
      <c r="S825" s="80"/>
      <c r="T825" s="121"/>
      <c r="U825" s="122"/>
      <c r="V825" s="73"/>
    </row>
    <row r="826" spans="1:22">
      <c r="A826" s="63"/>
      <c r="B826" s="70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  <c r="R826" s="80"/>
      <c r="S826" s="80"/>
      <c r="T826" s="121"/>
      <c r="U826" s="122"/>
      <c r="V826" s="73"/>
    </row>
    <row r="827" spans="1:22">
      <c r="A827" s="63"/>
      <c r="B827" s="70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  <c r="R827" s="80"/>
      <c r="S827" s="80"/>
      <c r="T827" s="121"/>
      <c r="U827" s="122"/>
      <c r="V827" s="73"/>
    </row>
    <row r="828" spans="1:22">
      <c r="A828" s="63"/>
      <c r="B828" s="70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  <c r="R828" s="80"/>
      <c r="S828" s="80"/>
      <c r="T828" s="121"/>
      <c r="U828" s="122"/>
      <c r="V828" s="73"/>
    </row>
    <row r="829" spans="1:22">
      <c r="A829" s="63"/>
      <c r="B829" s="70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  <c r="S829" s="80"/>
      <c r="T829" s="121"/>
      <c r="U829" s="122"/>
      <c r="V829" s="73"/>
    </row>
    <row r="830" spans="1:22">
      <c r="A830" s="63"/>
      <c r="B830" s="70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  <c r="R830" s="80"/>
      <c r="S830" s="80"/>
      <c r="T830" s="121"/>
      <c r="U830" s="122"/>
      <c r="V830" s="73"/>
    </row>
    <row r="831" spans="1:22">
      <c r="A831" s="63"/>
      <c r="B831" s="70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  <c r="R831" s="80"/>
      <c r="S831" s="80"/>
      <c r="T831" s="121"/>
      <c r="U831" s="122"/>
      <c r="V831" s="73"/>
    </row>
    <row r="832" spans="1:22">
      <c r="A832" s="63"/>
      <c r="B832" s="70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  <c r="R832" s="80"/>
      <c r="S832" s="80"/>
      <c r="T832" s="121"/>
      <c r="U832" s="122"/>
      <c r="V832" s="73"/>
    </row>
    <row r="833" spans="1:22">
      <c r="A833" s="63"/>
      <c r="B833" s="70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  <c r="R833" s="80"/>
      <c r="S833" s="80"/>
      <c r="T833" s="121"/>
      <c r="U833" s="122"/>
      <c r="V833" s="73"/>
    </row>
    <row r="834" spans="1:22">
      <c r="A834" s="63"/>
      <c r="B834" s="70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  <c r="R834" s="80"/>
      <c r="S834" s="80"/>
      <c r="T834" s="121"/>
      <c r="U834" s="122"/>
      <c r="V834" s="73"/>
    </row>
    <row r="835" spans="1:22">
      <c r="A835" s="63"/>
      <c r="B835" s="70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  <c r="S835" s="80"/>
      <c r="T835" s="121"/>
      <c r="U835" s="122"/>
      <c r="V835" s="73"/>
    </row>
    <row r="836" spans="1:22">
      <c r="A836" s="63"/>
      <c r="B836" s="70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  <c r="R836" s="80"/>
      <c r="S836" s="80"/>
      <c r="T836" s="121"/>
      <c r="U836" s="122"/>
      <c r="V836" s="73"/>
    </row>
    <row r="837" spans="1:22">
      <c r="A837" s="63"/>
      <c r="B837" s="70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  <c r="R837" s="80"/>
      <c r="S837" s="80"/>
      <c r="T837" s="121"/>
      <c r="U837" s="122"/>
      <c r="V837" s="73"/>
    </row>
    <row r="838" spans="1:22">
      <c r="A838" s="63"/>
      <c r="B838" s="70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  <c r="R838" s="80"/>
      <c r="S838" s="80"/>
      <c r="T838" s="121"/>
      <c r="U838" s="122"/>
      <c r="V838" s="73"/>
    </row>
    <row r="839" spans="1:22">
      <c r="A839" s="63"/>
      <c r="B839" s="70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  <c r="R839" s="80"/>
      <c r="S839" s="80"/>
      <c r="T839" s="121"/>
      <c r="U839" s="122"/>
      <c r="V839" s="73"/>
    </row>
    <row r="840" spans="1:22">
      <c r="A840" s="63"/>
      <c r="B840" s="70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  <c r="S840" s="80"/>
      <c r="T840" s="121"/>
      <c r="U840" s="122"/>
      <c r="V840" s="73"/>
    </row>
    <row r="841" spans="1:22">
      <c r="A841" s="63"/>
      <c r="B841" s="70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  <c r="R841" s="80"/>
      <c r="S841" s="80"/>
      <c r="T841" s="121"/>
      <c r="U841" s="122"/>
      <c r="V841" s="73"/>
    </row>
    <row r="842" spans="1:22">
      <c r="A842" s="63"/>
      <c r="B842" s="70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  <c r="R842" s="80"/>
      <c r="S842" s="80"/>
      <c r="T842" s="121"/>
      <c r="U842" s="122"/>
      <c r="V842" s="73"/>
    </row>
    <row r="843" spans="1:22">
      <c r="A843" s="63"/>
      <c r="B843" s="70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  <c r="R843" s="80"/>
      <c r="S843" s="80"/>
      <c r="T843" s="121"/>
      <c r="U843" s="122"/>
      <c r="V843" s="73"/>
    </row>
    <row r="844" spans="1:22">
      <c r="A844" s="63"/>
      <c r="B844" s="70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  <c r="R844" s="80"/>
      <c r="S844" s="80"/>
      <c r="T844" s="121"/>
      <c r="U844" s="122"/>
      <c r="V844" s="73"/>
    </row>
    <row r="845" spans="1:22">
      <c r="A845" s="63"/>
      <c r="B845" s="70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  <c r="R845" s="80"/>
      <c r="S845" s="80"/>
      <c r="T845" s="121"/>
      <c r="U845" s="122"/>
      <c r="V845" s="73"/>
    </row>
    <row r="846" spans="1:22">
      <c r="A846" s="63"/>
      <c r="B846" s="70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  <c r="S846" s="80"/>
      <c r="T846" s="121"/>
      <c r="U846" s="122"/>
      <c r="V846" s="73"/>
    </row>
    <row r="847" spans="1:22">
      <c r="A847" s="63"/>
      <c r="B847" s="70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  <c r="R847" s="80"/>
      <c r="S847" s="80"/>
      <c r="T847" s="121"/>
      <c r="U847" s="122"/>
      <c r="V847" s="73"/>
    </row>
    <row r="848" spans="1:22">
      <c r="A848" s="63"/>
      <c r="B848" s="70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  <c r="R848" s="80"/>
      <c r="S848" s="80"/>
      <c r="T848" s="121"/>
      <c r="U848" s="122"/>
      <c r="V848" s="73"/>
    </row>
    <row r="849" spans="1:22">
      <c r="A849" s="63"/>
      <c r="B849" s="70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  <c r="S849" s="80"/>
      <c r="T849" s="121"/>
      <c r="U849" s="122"/>
      <c r="V849" s="73"/>
    </row>
    <row r="850" spans="1:22">
      <c r="A850" s="63"/>
      <c r="B850" s="70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  <c r="R850" s="80"/>
      <c r="S850" s="80"/>
      <c r="T850" s="121"/>
      <c r="U850" s="122"/>
      <c r="V850" s="73"/>
    </row>
    <row r="851" spans="1:22">
      <c r="A851" s="63"/>
      <c r="B851" s="70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  <c r="R851" s="80"/>
      <c r="S851" s="80"/>
      <c r="T851" s="121"/>
      <c r="U851" s="122"/>
      <c r="V851" s="73"/>
    </row>
    <row r="852" spans="1:22">
      <c r="A852" s="63"/>
      <c r="B852" s="70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  <c r="R852" s="80"/>
      <c r="S852" s="80"/>
      <c r="T852" s="121"/>
      <c r="U852" s="122"/>
      <c r="V852" s="73"/>
    </row>
    <row r="853" spans="1:22">
      <c r="A853" s="63"/>
      <c r="B853" s="70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  <c r="S853" s="80"/>
      <c r="T853" s="121"/>
      <c r="U853" s="122"/>
      <c r="V853" s="73"/>
    </row>
    <row r="854" spans="1:22">
      <c r="A854" s="63"/>
      <c r="B854" s="70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  <c r="R854" s="80"/>
      <c r="S854" s="80"/>
      <c r="T854" s="121"/>
      <c r="U854" s="122"/>
      <c r="V854" s="73"/>
    </row>
    <row r="855" spans="1:22">
      <c r="A855" s="63"/>
      <c r="B855" s="70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  <c r="R855" s="80"/>
      <c r="S855" s="80"/>
      <c r="T855" s="121"/>
      <c r="U855" s="122"/>
      <c r="V855" s="73"/>
    </row>
    <row r="856" spans="1:22">
      <c r="A856" s="63"/>
      <c r="B856" s="70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  <c r="R856" s="80"/>
      <c r="S856" s="80"/>
      <c r="T856" s="121"/>
      <c r="U856" s="122"/>
      <c r="V856" s="73"/>
    </row>
    <row r="857" spans="1:22">
      <c r="A857" s="63"/>
      <c r="B857" s="70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  <c r="R857" s="80"/>
      <c r="S857" s="80"/>
      <c r="T857" s="121"/>
      <c r="U857" s="122"/>
      <c r="V857" s="73"/>
    </row>
    <row r="858" spans="1:22">
      <c r="A858" s="63"/>
      <c r="B858" s="70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  <c r="R858" s="80"/>
      <c r="S858" s="80"/>
      <c r="T858" s="121"/>
      <c r="U858" s="122"/>
      <c r="V858" s="73"/>
    </row>
    <row r="859" spans="1:22">
      <c r="A859" s="63"/>
      <c r="B859" s="70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  <c r="R859" s="80"/>
      <c r="S859" s="80"/>
      <c r="T859" s="121"/>
      <c r="U859" s="122"/>
      <c r="V859" s="73"/>
    </row>
    <row r="860" spans="1:22">
      <c r="A860" s="63"/>
      <c r="B860" s="70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  <c r="R860" s="80"/>
      <c r="S860" s="80"/>
      <c r="T860" s="121"/>
      <c r="U860" s="122"/>
      <c r="V860" s="73"/>
    </row>
    <row r="861" spans="1:22">
      <c r="A861" s="63"/>
      <c r="B861" s="70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  <c r="R861" s="80"/>
      <c r="S861" s="80"/>
      <c r="T861" s="121"/>
      <c r="U861" s="122"/>
      <c r="V861" s="73"/>
    </row>
    <row r="862" spans="1:22">
      <c r="A862" s="63"/>
      <c r="B862" s="70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  <c r="R862" s="80"/>
      <c r="S862" s="80"/>
      <c r="T862" s="121"/>
      <c r="U862" s="122"/>
      <c r="V862" s="73"/>
    </row>
    <row r="863" spans="1:22">
      <c r="A863" s="63"/>
      <c r="B863" s="70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  <c r="R863" s="80"/>
      <c r="S863" s="80"/>
      <c r="T863" s="121"/>
      <c r="U863" s="122"/>
      <c r="V863" s="73"/>
    </row>
    <row r="864" spans="1:22">
      <c r="A864" s="63"/>
      <c r="B864" s="70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  <c r="R864" s="80"/>
      <c r="S864" s="80"/>
      <c r="T864" s="121"/>
      <c r="U864" s="122"/>
      <c r="V864" s="73"/>
    </row>
    <row r="865" spans="1:22">
      <c r="A865" s="63"/>
      <c r="B865" s="70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  <c r="R865" s="80"/>
      <c r="S865" s="80"/>
      <c r="T865" s="121"/>
      <c r="U865" s="122"/>
      <c r="V865" s="73"/>
    </row>
    <row r="866" spans="1:22">
      <c r="A866" s="63"/>
      <c r="B866" s="70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  <c r="R866" s="80"/>
      <c r="S866" s="80"/>
      <c r="T866" s="121"/>
      <c r="U866" s="122"/>
      <c r="V866" s="73"/>
    </row>
    <row r="867" spans="1:22">
      <c r="A867" s="63"/>
      <c r="B867" s="70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  <c r="R867" s="80"/>
      <c r="S867" s="80"/>
      <c r="T867" s="121"/>
      <c r="U867" s="122"/>
      <c r="V867" s="73"/>
    </row>
    <row r="868" spans="1:22">
      <c r="A868" s="63"/>
      <c r="B868" s="70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  <c r="R868" s="80"/>
      <c r="S868" s="80"/>
      <c r="T868" s="121"/>
      <c r="U868" s="122"/>
      <c r="V868" s="73"/>
    </row>
    <row r="869" spans="1:22">
      <c r="A869" s="63"/>
      <c r="B869" s="70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  <c r="R869" s="80"/>
      <c r="S869" s="80"/>
      <c r="T869" s="121"/>
      <c r="U869" s="122"/>
      <c r="V869" s="73"/>
    </row>
    <row r="870" spans="1:22">
      <c r="A870" s="63"/>
      <c r="B870" s="70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  <c r="R870" s="80"/>
      <c r="S870" s="80"/>
      <c r="T870" s="121"/>
      <c r="U870" s="122"/>
      <c r="V870" s="73"/>
    </row>
    <row r="871" spans="1:22">
      <c r="A871" s="63"/>
      <c r="B871" s="70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  <c r="R871" s="80"/>
      <c r="S871" s="80"/>
      <c r="T871" s="121"/>
      <c r="U871" s="122"/>
      <c r="V871" s="73"/>
    </row>
    <row r="872" spans="1:22">
      <c r="A872" s="63"/>
      <c r="B872" s="70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  <c r="S872" s="80"/>
      <c r="T872" s="121"/>
      <c r="U872" s="122"/>
      <c r="V872" s="73"/>
    </row>
    <row r="873" spans="1:22">
      <c r="A873" s="63"/>
      <c r="B873" s="70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  <c r="R873" s="80"/>
      <c r="S873" s="80"/>
      <c r="T873" s="121"/>
      <c r="U873" s="122"/>
      <c r="V873" s="73"/>
    </row>
    <row r="874" spans="1:22">
      <c r="A874" s="63"/>
      <c r="B874" s="70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  <c r="R874" s="80"/>
      <c r="S874" s="80"/>
      <c r="T874" s="121"/>
      <c r="U874" s="122"/>
      <c r="V874" s="73"/>
    </row>
    <row r="875" spans="1:22">
      <c r="A875" s="63"/>
      <c r="B875" s="70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  <c r="R875" s="80"/>
      <c r="S875" s="80"/>
      <c r="T875" s="121"/>
      <c r="U875" s="122"/>
      <c r="V875" s="73"/>
    </row>
    <row r="876" spans="1:22">
      <c r="A876" s="63"/>
      <c r="B876" s="70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0"/>
      <c r="N876" s="80"/>
      <c r="O876" s="80"/>
      <c r="P876" s="80"/>
      <c r="Q876" s="80"/>
      <c r="R876" s="80"/>
      <c r="S876" s="80"/>
      <c r="T876" s="121"/>
      <c r="U876" s="122"/>
      <c r="V876" s="73"/>
    </row>
    <row r="877" spans="1:22">
      <c r="A877" s="63"/>
      <c r="B877" s="70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0"/>
      <c r="N877" s="80"/>
      <c r="O877" s="80"/>
      <c r="P877" s="80"/>
      <c r="Q877" s="80"/>
      <c r="R877" s="80"/>
      <c r="S877" s="80"/>
      <c r="T877" s="121"/>
      <c r="U877" s="122"/>
      <c r="V877" s="73"/>
    </row>
    <row r="878" spans="1:22">
      <c r="A878" s="63"/>
      <c r="B878" s="70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  <c r="S878" s="80"/>
      <c r="T878" s="121"/>
      <c r="U878" s="122"/>
      <c r="V878" s="73"/>
    </row>
    <row r="879" spans="1:22">
      <c r="A879" s="63"/>
      <c r="B879" s="70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0"/>
      <c r="N879" s="80"/>
      <c r="O879" s="80"/>
      <c r="P879" s="80"/>
      <c r="Q879" s="80"/>
      <c r="R879" s="80"/>
      <c r="S879" s="80"/>
      <c r="T879" s="121"/>
      <c r="U879" s="122"/>
      <c r="V879" s="73"/>
    </row>
    <row r="880" spans="1:22">
      <c r="A880" s="63"/>
      <c r="B880" s="70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0"/>
      <c r="N880" s="80"/>
      <c r="O880" s="80"/>
      <c r="P880" s="80"/>
      <c r="Q880" s="80"/>
      <c r="R880" s="80"/>
      <c r="S880" s="80"/>
      <c r="T880" s="121"/>
      <c r="U880" s="122"/>
      <c r="V880" s="73"/>
    </row>
    <row r="881" spans="1:22">
      <c r="A881" s="63"/>
      <c r="B881" s="70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0"/>
      <c r="N881" s="80"/>
      <c r="O881" s="80"/>
      <c r="P881" s="80"/>
      <c r="Q881" s="80"/>
      <c r="R881" s="80"/>
      <c r="S881" s="80"/>
      <c r="T881" s="121"/>
      <c r="U881" s="122"/>
      <c r="V881" s="73"/>
    </row>
    <row r="882" spans="1:22">
      <c r="A882" s="63"/>
      <c r="B882" s="70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0"/>
      <c r="N882" s="80"/>
      <c r="O882" s="80"/>
      <c r="P882" s="80"/>
      <c r="Q882" s="80"/>
      <c r="R882" s="80"/>
      <c r="S882" s="80"/>
      <c r="T882" s="121"/>
      <c r="U882" s="122"/>
      <c r="V882" s="73"/>
    </row>
    <row r="883" spans="1:22">
      <c r="A883" s="63"/>
      <c r="B883" s="70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0"/>
      <c r="N883" s="80"/>
      <c r="O883" s="80"/>
      <c r="P883" s="80"/>
      <c r="Q883" s="80"/>
      <c r="R883" s="80"/>
      <c r="S883" s="80"/>
      <c r="T883" s="121"/>
      <c r="U883" s="122"/>
      <c r="V883" s="73"/>
    </row>
    <row r="884" spans="1:22">
      <c r="A884" s="63"/>
      <c r="B884" s="70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0"/>
      <c r="N884" s="80"/>
      <c r="O884" s="80"/>
      <c r="P884" s="80"/>
      <c r="Q884" s="80"/>
      <c r="R884" s="80"/>
      <c r="S884" s="80"/>
      <c r="T884" s="121"/>
      <c r="U884" s="122"/>
      <c r="V884" s="73"/>
    </row>
    <row r="885" spans="1:22">
      <c r="A885" s="63"/>
      <c r="B885" s="70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0"/>
      <c r="N885" s="80"/>
      <c r="O885" s="80"/>
      <c r="P885" s="80"/>
      <c r="Q885" s="80"/>
      <c r="R885" s="80"/>
      <c r="S885" s="80"/>
      <c r="T885" s="121"/>
      <c r="U885" s="122"/>
      <c r="V885" s="73"/>
    </row>
    <row r="886" spans="1:22">
      <c r="A886" s="63"/>
      <c r="B886" s="70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0"/>
      <c r="N886" s="80"/>
      <c r="O886" s="80"/>
      <c r="P886" s="80"/>
      <c r="Q886" s="80"/>
      <c r="R886" s="80"/>
      <c r="S886" s="80"/>
      <c r="T886" s="121"/>
      <c r="U886" s="122"/>
      <c r="V886" s="73"/>
    </row>
    <row r="887" spans="1:22">
      <c r="A887" s="63"/>
      <c r="B887" s="70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0"/>
      <c r="N887" s="80"/>
      <c r="O887" s="80"/>
      <c r="P887" s="80"/>
      <c r="Q887" s="80"/>
      <c r="R887" s="80"/>
      <c r="S887" s="80"/>
      <c r="T887" s="121"/>
      <c r="U887" s="122"/>
      <c r="V887" s="73"/>
    </row>
    <row r="888" spans="1:22">
      <c r="A888" s="63"/>
      <c r="B888" s="70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  <c r="R888" s="80"/>
      <c r="S888" s="80"/>
      <c r="T888" s="121"/>
      <c r="U888" s="122"/>
      <c r="V888" s="73"/>
    </row>
    <row r="889" spans="1:22">
      <c r="A889" s="63"/>
      <c r="B889" s="70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  <c r="S889" s="80"/>
      <c r="T889" s="121"/>
      <c r="U889" s="122"/>
      <c r="V889" s="73"/>
    </row>
    <row r="890" spans="1:22">
      <c r="A890" s="63"/>
      <c r="B890" s="70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  <c r="R890" s="80"/>
      <c r="S890" s="80"/>
      <c r="T890" s="121"/>
      <c r="U890" s="122"/>
      <c r="V890" s="73"/>
    </row>
    <row r="891" spans="1:22">
      <c r="A891" s="63"/>
      <c r="B891" s="70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  <c r="R891" s="80"/>
      <c r="S891" s="80"/>
      <c r="T891" s="121"/>
      <c r="U891" s="122"/>
      <c r="V891" s="73"/>
    </row>
    <row r="892" spans="1:22">
      <c r="A892" s="63"/>
      <c r="B892" s="70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  <c r="R892" s="80"/>
      <c r="S892" s="80"/>
      <c r="T892" s="121"/>
      <c r="U892" s="122"/>
      <c r="V892" s="73"/>
    </row>
    <row r="893" spans="1:22">
      <c r="A893" s="63"/>
      <c r="B893" s="70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  <c r="R893" s="80"/>
      <c r="S893" s="80"/>
      <c r="T893" s="121"/>
      <c r="U893" s="122"/>
      <c r="V893" s="73"/>
    </row>
    <row r="894" spans="1:22">
      <c r="A894" s="63"/>
      <c r="B894" s="70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  <c r="R894" s="80"/>
      <c r="S894" s="80"/>
      <c r="T894" s="121"/>
      <c r="U894" s="122"/>
      <c r="V894" s="73"/>
    </row>
    <row r="895" spans="1:22">
      <c r="A895" s="63"/>
      <c r="B895" s="70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  <c r="R895" s="80"/>
      <c r="S895" s="80"/>
      <c r="T895" s="121"/>
      <c r="U895" s="122"/>
      <c r="V895" s="73"/>
    </row>
    <row r="896" spans="1:22">
      <c r="A896" s="63"/>
      <c r="B896" s="70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  <c r="R896" s="80"/>
      <c r="S896" s="80"/>
      <c r="T896" s="121"/>
      <c r="U896" s="122"/>
      <c r="V896" s="73"/>
    </row>
    <row r="897" spans="1:22">
      <c r="A897" s="63"/>
      <c r="B897" s="70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  <c r="R897" s="80"/>
      <c r="S897" s="80"/>
      <c r="T897" s="121"/>
      <c r="U897" s="122"/>
      <c r="V897" s="73"/>
    </row>
    <row r="898" spans="1:22">
      <c r="A898" s="63"/>
      <c r="B898" s="70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  <c r="R898" s="80"/>
      <c r="S898" s="80"/>
      <c r="T898" s="121"/>
      <c r="U898" s="122"/>
      <c r="V898" s="73"/>
    </row>
    <row r="899" spans="1:22">
      <c r="A899" s="63"/>
      <c r="B899" s="70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  <c r="R899" s="80"/>
      <c r="S899" s="80"/>
      <c r="T899" s="121"/>
      <c r="U899" s="122"/>
      <c r="V899" s="73"/>
    </row>
    <row r="900" spans="1:22">
      <c r="A900" s="63"/>
      <c r="B900" s="70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  <c r="R900" s="80"/>
      <c r="S900" s="80"/>
      <c r="T900" s="121"/>
      <c r="U900" s="122"/>
      <c r="V900" s="73"/>
    </row>
    <row r="901" spans="1:22">
      <c r="A901" s="63"/>
      <c r="B901" s="70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  <c r="R901" s="80"/>
      <c r="S901" s="80"/>
      <c r="T901" s="121"/>
      <c r="U901" s="122"/>
      <c r="V901" s="73"/>
    </row>
    <row r="902" spans="1:22">
      <c r="A902" s="63"/>
      <c r="B902" s="70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  <c r="R902" s="80"/>
      <c r="S902" s="80"/>
      <c r="T902" s="121"/>
      <c r="U902" s="122"/>
      <c r="V902" s="73"/>
    </row>
    <row r="903" spans="1:22">
      <c r="A903" s="63"/>
      <c r="B903" s="70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0"/>
      <c r="N903" s="80"/>
      <c r="O903" s="80"/>
      <c r="P903" s="80"/>
      <c r="Q903" s="80"/>
      <c r="R903" s="80"/>
      <c r="S903" s="80"/>
      <c r="T903" s="121"/>
      <c r="U903" s="122"/>
      <c r="V903" s="73"/>
    </row>
    <row r="904" spans="1:22">
      <c r="A904" s="63"/>
      <c r="B904" s="70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0"/>
      <c r="N904" s="80"/>
      <c r="O904" s="80"/>
      <c r="P904" s="80"/>
      <c r="Q904" s="80"/>
      <c r="R904" s="80"/>
      <c r="S904" s="80"/>
      <c r="T904" s="121"/>
      <c r="U904" s="122"/>
      <c r="V904" s="73"/>
    </row>
    <row r="905" spans="1:22">
      <c r="A905" s="63"/>
      <c r="B905" s="70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0"/>
      <c r="N905" s="80"/>
      <c r="O905" s="80"/>
      <c r="P905" s="80"/>
      <c r="Q905" s="80"/>
      <c r="R905" s="80"/>
      <c r="S905" s="80"/>
      <c r="T905" s="121"/>
      <c r="U905" s="122"/>
      <c r="V905" s="73"/>
    </row>
    <row r="906" spans="1:22">
      <c r="A906" s="63"/>
      <c r="B906" s="70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0"/>
      <c r="N906" s="80"/>
      <c r="O906" s="80"/>
      <c r="P906" s="80"/>
      <c r="Q906" s="80"/>
      <c r="R906" s="80"/>
      <c r="S906" s="80"/>
      <c r="T906" s="121"/>
      <c r="U906" s="122"/>
      <c r="V906" s="73"/>
    </row>
    <row r="907" spans="1:22">
      <c r="A907" s="63"/>
      <c r="B907" s="70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0"/>
      <c r="N907" s="80"/>
      <c r="O907" s="80"/>
      <c r="P907" s="80"/>
      <c r="Q907" s="80"/>
      <c r="R907" s="80"/>
      <c r="S907" s="80"/>
      <c r="T907" s="121"/>
      <c r="U907" s="122"/>
      <c r="V907" s="73"/>
    </row>
    <row r="908" spans="1:22">
      <c r="A908" s="63"/>
      <c r="B908" s="70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0"/>
      <c r="N908" s="80"/>
      <c r="O908" s="80"/>
      <c r="P908" s="80"/>
      <c r="Q908" s="80"/>
      <c r="R908" s="80"/>
      <c r="S908" s="80"/>
      <c r="T908" s="121"/>
      <c r="U908" s="122"/>
      <c r="V908" s="73"/>
    </row>
    <row r="909" spans="1:22">
      <c r="A909" s="63"/>
      <c r="B909" s="70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  <c r="S909" s="80"/>
      <c r="T909" s="121"/>
      <c r="U909" s="122"/>
      <c r="V909" s="73"/>
    </row>
    <row r="910" spans="1:22">
      <c r="A910" s="63"/>
      <c r="B910" s="70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0"/>
      <c r="N910" s="80"/>
      <c r="O910" s="80"/>
      <c r="P910" s="80"/>
      <c r="Q910" s="80"/>
      <c r="R910" s="80"/>
      <c r="S910" s="80"/>
      <c r="T910" s="121"/>
      <c r="U910" s="122"/>
      <c r="V910" s="73"/>
    </row>
    <row r="911" spans="1:22">
      <c r="A911" s="63"/>
      <c r="B911" s="70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0"/>
      <c r="N911" s="80"/>
      <c r="O911" s="80"/>
      <c r="P911" s="80"/>
      <c r="Q911" s="80"/>
      <c r="R911" s="80"/>
      <c r="S911" s="80"/>
      <c r="T911" s="121"/>
      <c r="U911" s="122"/>
      <c r="V911" s="73"/>
    </row>
    <row r="912" spans="1:22">
      <c r="A912" s="63"/>
      <c r="B912" s="70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0"/>
      <c r="N912" s="80"/>
      <c r="O912" s="80"/>
      <c r="P912" s="80"/>
      <c r="Q912" s="80"/>
      <c r="R912" s="80"/>
      <c r="S912" s="80"/>
      <c r="T912" s="121"/>
      <c r="U912" s="122"/>
      <c r="V912" s="73"/>
    </row>
    <row r="913" spans="1:22">
      <c r="A913" s="63"/>
      <c r="B913" s="70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0"/>
      <c r="N913" s="80"/>
      <c r="O913" s="80"/>
      <c r="P913" s="80"/>
      <c r="Q913" s="80"/>
      <c r="R913" s="80"/>
      <c r="S913" s="80"/>
      <c r="T913" s="121"/>
      <c r="U913" s="122"/>
      <c r="V913" s="73"/>
    </row>
    <row r="914" spans="1:22">
      <c r="A914" s="63"/>
      <c r="B914" s="70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0"/>
      <c r="N914" s="80"/>
      <c r="O914" s="80"/>
      <c r="P914" s="80"/>
      <c r="Q914" s="80"/>
      <c r="R914" s="80"/>
      <c r="S914" s="80"/>
      <c r="T914" s="121"/>
      <c r="U914" s="122"/>
      <c r="V914" s="73"/>
    </row>
    <row r="915" spans="1:22">
      <c r="A915" s="63"/>
      <c r="B915" s="70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  <c r="S915" s="80"/>
      <c r="T915" s="121"/>
      <c r="U915" s="122"/>
      <c r="V915" s="73"/>
    </row>
    <row r="916" spans="1:22">
      <c r="A916" s="63"/>
      <c r="B916" s="70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0"/>
      <c r="N916" s="80"/>
      <c r="O916" s="80"/>
      <c r="P916" s="80"/>
      <c r="Q916" s="80"/>
      <c r="R916" s="80"/>
      <c r="S916" s="80"/>
      <c r="T916" s="121"/>
      <c r="U916" s="122"/>
      <c r="V916" s="73"/>
    </row>
    <row r="917" spans="1:22">
      <c r="A917" s="63"/>
      <c r="B917" s="70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0"/>
      <c r="N917" s="80"/>
      <c r="O917" s="80"/>
      <c r="P917" s="80"/>
      <c r="Q917" s="80"/>
      <c r="R917" s="80"/>
      <c r="S917" s="80"/>
      <c r="T917" s="121"/>
      <c r="U917" s="122"/>
      <c r="V917" s="73"/>
    </row>
    <row r="918" spans="1:22">
      <c r="A918" s="63"/>
      <c r="B918" s="70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  <c r="R918" s="80"/>
      <c r="S918" s="80"/>
      <c r="T918" s="121"/>
      <c r="U918" s="122"/>
      <c r="V918" s="73"/>
    </row>
    <row r="919" spans="1:22">
      <c r="A919" s="63"/>
      <c r="B919" s="70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  <c r="R919" s="80"/>
      <c r="S919" s="80"/>
      <c r="T919" s="121"/>
      <c r="U919" s="122"/>
      <c r="V919" s="73"/>
    </row>
    <row r="920" spans="1:22">
      <c r="A920" s="63"/>
      <c r="B920" s="70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  <c r="R920" s="80"/>
      <c r="S920" s="80"/>
      <c r="T920" s="121"/>
      <c r="U920" s="122"/>
      <c r="V920" s="73"/>
    </row>
    <row r="921" spans="1:22">
      <c r="A921" s="63"/>
      <c r="B921" s="70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  <c r="R921" s="80"/>
      <c r="S921" s="80"/>
      <c r="T921" s="121"/>
      <c r="U921" s="122"/>
      <c r="V921" s="73"/>
    </row>
    <row r="922" spans="1:22">
      <c r="A922" s="63"/>
      <c r="B922" s="70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  <c r="R922" s="80"/>
      <c r="S922" s="80"/>
      <c r="T922" s="121"/>
      <c r="U922" s="122"/>
      <c r="V922" s="73"/>
    </row>
    <row r="923" spans="1:22">
      <c r="A923" s="63"/>
      <c r="B923" s="70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  <c r="R923" s="80"/>
      <c r="S923" s="80"/>
      <c r="T923" s="121"/>
      <c r="U923" s="122"/>
      <c r="V923" s="73"/>
    </row>
    <row r="924" spans="1:22">
      <c r="A924" s="63"/>
      <c r="B924" s="70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  <c r="R924" s="80"/>
      <c r="S924" s="80"/>
      <c r="T924" s="121"/>
      <c r="U924" s="122"/>
      <c r="V924" s="73"/>
    </row>
    <row r="925" spans="1:22">
      <c r="A925" s="63"/>
      <c r="B925" s="70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  <c r="R925" s="80"/>
      <c r="S925" s="80"/>
      <c r="T925" s="121"/>
      <c r="U925" s="122"/>
      <c r="V925" s="73"/>
    </row>
    <row r="926" spans="1:22">
      <c r="A926" s="63"/>
      <c r="B926" s="70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  <c r="R926" s="80"/>
      <c r="S926" s="80"/>
      <c r="T926" s="121"/>
      <c r="U926" s="122"/>
      <c r="V926" s="73"/>
    </row>
    <row r="927" spans="1:22">
      <c r="A927" s="63"/>
      <c r="B927" s="70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  <c r="R927" s="80"/>
      <c r="S927" s="80"/>
      <c r="T927" s="121"/>
      <c r="U927" s="122"/>
      <c r="V927" s="73"/>
    </row>
    <row r="928" spans="1:22">
      <c r="A928" s="63"/>
      <c r="B928" s="70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  <c r="R928" s="80"/>
      <c r="S928" s="80"/>
      <c r="T928" s="121"/>
      <c r="U928" s="122"/>
      <c r="V928" s="73"/>
    </row>
    <row r="929" spans="1:22">
      <c r="A929" s="63"/>
      <c r="B929" s="70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  <c r="R929" s="80"/>
      <c r="S929" s="80"/>
      <c r="T929" s="121"/>
      <c r="U929" s="122"/>
      <c r="V929" s="73"/>
    </row>
    <row r="930" spans="1:22">
      <c r="A930" s="63"/>
      <c r="B930" s="70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  <c r="R930" s="80"/>
      <c r="S930" s="80"/>
      <c r="T930" s="121"/>
      <c r="U930" s="122"/>
      <c r="V930" s="73"/>
    </row>
    <row r="931" spans="1:22">
      <c r="A931" s="63"/>
      <c r="B931" s="70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  <c r="R931" s="80"/>
      <c r="S931" s="80"/>
      <c r="T931" s="121"/>
      <c r="U931" s="122"/>
      <c r="V931" s="73"/>
    </row>
    <row r="932" spans="1:22">
      <c r="A932" s="63"/>
      <c r="B932" s="70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  <c r="R932" s="80"/>
      <c r="S932" s="80"/>
      <c r="T932" s="121"/>
      <c r="U932" s="122"/>
      <c r="V932" s="73"/>
    </row>
    <row r="933" spans="1:22">
      <c r="A933" s="63"/>
      <c r="B933" s="70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  <c r="S933" s="80"/>
      <c r="T933" s="121"/>
      <c r="U933" s="122"/>
      <c r="V933" s="73"/>
    </row>
    <row r="934" spans="1:22">
      <c r="A934" s="63"/>
      <c r="B934" s="70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0"/>
      <c r="N934" s="80"/>
      <c r="O934" s="80"/>
      <c r="P934" s="80"/>
      <c r="Q934" s="80"/>
      <c r="R934" s="80"/>
      <c r="S934" s="80"/>
      <c r="T934" s="121"/>
      <c r="U934" s="122"/>
      <c r="V934" s="73"/>
    </row>
    <row r="935" spans="1:22">
      <c r="A935" s="63"/>
      <c r="B935" s="70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0"/>
      <c r="N935" s="80"/>
      <c r="O935" s="80"/>
      <c r="P935" s="80"/>
      <c r="Q935" s="80"/>
      <c r="R935" s="80"/>
      <c r="S935" s="80"/>
      <c r="T935" s="121"/>
      <c r="U935" s="122"/>
      <c r="V935" s="73"/>
    </row>
    <row r="936" spans="1:22">
      <c r="A936" s="63"/>
      <c r="B936" s="70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  <c r="S936" s="80"/>
      <c r="T936" s="121"/>
      <c r="U936" s="122"/>
      <c r="V936" s="73"/>
    </row>
    <row r="937" spans="1:22">
      <c r="A937" s="63"/>
      <c r="B937" s="70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0"/>
      <c r="N937" s="80"/>
      <c r="O937" s="80"/>
      <c r="P937" s="80"/>
      <c r="Q937" s="80"/>
      <c r="R937" s="80"/>
      <c r="S937" s="80"/>
      <c r="T937" s="121"/>
      <c r="U937" s="122"/>
      <c r="V937" s="73"/>
    </row>
    <row r="938" spans="1:22">
      <c r="A938" s="63"/>
      <c r="B938" s="70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0"/>
      <c r="N938" s="80"/>
      <c r="O938" s="80"/>
      <c r="P938" s="80"/>
      <c r="Q938" s="80"/>
      <c r="R938" s="80"/>
      <c r="S938" s="80"/>
      <c r="T938" s="121"/>
      <c r="U938" s="122"/>
      <c r="V938" s="73"/>
    </row>
    <row r="939" spans="1:22">
      <c r="A939" s="63"/>
      <c r="B939" s="70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0"/>
      <c r="N939" s="80"/>
      <c r="O939" s="80"/>
      <c r="P939" s="80"/>
      <c r="Q939" s="80"/>
      <c r="R939" s="80"/>
      <c r="S939" s="80"/>
      <c r="T939" s="121"/>
      <c r="U939" s="122"/>
      <c r="V939" s="73"/>
    </row>
    <row r="940" spans="1:22">
      <c r="A940" s="63"/>
      <c r="B940" s="70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  <c r="S940" s="80"/>
      <c r="T940" s="121"/>
      <c r="U940" s="122"/>
      <c r="V940" s="73"/>
    </row>
    <row r="941" spans="1:22">
      <c r="A941" s="63"/>
      <c r="B941" s="70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0"/>
      <c r="N941" s="80"/>
      <c r="O941" s="80"/>
      <c r="P941" s="80"/>
      <c r="Q941" s="80"/>
      <c r="R941" s="80"/>
      <c r="S941" s="80"/>
      <c r="T941" s="121"/>
      <c r="U941" s="122"/>
      <c r="V941" s="73"/>
    </row>
    <row r="942" spans="1:22">
      <c r="A942" s="63"/>
      <c r="B942" s="70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0"/>
      <c r="N942" s="80"/>
      <c r="O942" s="80"/>
      <c r="P942" s="80"/>
      <c r="Q942" s="80"/>
      <c r="R942" s="80"/>
      <c r="S942" s="80"/>
      <c r="T942" s="121"/>
      <c r="U942" s="122"/>
      <c r="V942" s="73"/>
    </row>
    <row r="943" spans="1:22">
      <c r="A943" s="63"/>
      <c r="B943" s="70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  <c r="S943" s="80"/>
      <c r="T943" s="121"/>
      <c r="U943" s="122"/>
      <c r="V943" s="73"/>
    </row>
    <row r="944" spans="1:22">
      <c r="A944" s="63"/>
      <c r="B944" s="70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0"/>
      <c r="N944" s="80"/>
      <c r="O944" s="80"/>
      <c r="P944" s="80"/>
      <c r="Q944" s="80"/>
      <c r="R944" s="80"/>
      <c r="S944" s="80"/>
      <c r="T944" s="121"/>
      <c r="U944" s="122"/>
      <c r="V944" s="73"/>
    </row>
    <row r="945" spans="1:22">
      <c r="A945" s="63"/>
      <c r="B945" s="70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0"/>
      <c r="N945" s="80"/>
      <c r="O945" s="80"/>
      <c r="P945" s="80"/>
      <c r="Q945" s="80"/>
      <c r="R945" s="80"/>
      <c r="S945" s="80"/>
      <c r="T945" s="121"/>
      <c r="U945" s="122"/>
      <c r="V945" s="73"/>
    </row>
    <row r="946" spans="1:22">
      <c r="A946" s="63"/>
      <c r="B946" s="70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0"/>
      <c r="N946" s="80"/>
      <c r="O946" s="80"/>
      <c r="P946" s="80"/>
      <c r="Q946" s="80"/>
      <c r="R946" s="80"/>
      <c r="S946" s="80"/>
      <c r="T946" s="121"/>
      <c r="U946" s="122"/>
      <c r="V946" s="73"/>
    </row>
    <row r="947" spans="1:22">
      <c r="A947" s="63"/>
      <c r="B947" s="70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0"/>
      <c r="N947" s="80"/>
      <c r="O947" s="80"/>
      <c r="P947" s="80"/>
      <c r="Q947" s="80"/>
      <c r="R947" s="80"/>
      <c r="S947" s="80"/>
      <c r="T947" s="121"/>
      <c r="U947" s="122"/>
      <c r="V947" s="73"/>
    </row>
    <row r="948" spans="1:22">
      <c r="A948" s="63"/>
      <c r="B948" s="70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  <c r="R948" s="80"/>
      <c r="S948" s="80"/>
      <c r="T948" s="121"/>
      <c r="U948" s="122"/>
      <c r="V948" s="73"/>
    </row>
    <row r="949" spans="1:22">
      <c r="A949" s="63"/>
      <c r="B949" s="70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  <c r="R949" s="80"/>
      <c r="S949" s="80"/>
      <c r="T949" s="121"/>
      <c r="U949" s="122"/>
      <c r="V949" s="73"/>
    </row>
    <row r="950" spans="1:22">
      <c r="A950" s="63"/>
      <c r="B950" s="70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  <c r="R950" s="80"/>
      <c r="S950" s="80"/>
      <c r="T950" s="121"/>
      <c r="U950" s="122"/>
      <c r="V950" s="73"/>
    </row>
    <row r="951" spans="1:22">
      <c r="A951" s="63"/>
      <c r="B951" s="70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  <c r="S951" s="80"/>
      <c r="T951" s="121"/>
      <c r="U951" s="122"/>
      <c r="V951" s="73"/>
    </row>
    <row r="952" spans="1:22">
      <c r="A952" s="63"/>
      <c r="B952" s="70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  <c r="R952" s="80"/>
      <c r="S952" s="80"/>
      <c r="T952" s="121"/>
      <c r="U952" s="122"/>
      <c r="V952" s="73"/>
    </row>
    <row r="953" spans="1:22">
      <c r="A953" s="63"/>
      <c r="B953" s="70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  <c r="R953" s="80"/>
      <c r="S953" s="80"/>
      <c r="T953" s="121"/>
      <c r="U953" s="122"/>
      <c r="V953" s="73"/>
    </row>
    <row r="954" spans="1:22">
      <c r="A954" s="63"/>
      <c r="B954" s="70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  <c r="R954" s="80"/>
      <c r="S954" s="80"/>
      <c r="T954" s="121"/>
      <c r="U954" s="122"/>
      <c r="V954" s="73"/>
    </row>
    <row r="955" spans="1:22">
      <c r="A955" s="63"/>
      <c r="B955" s="70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  <c r="S955" s="80"/>
      <c r="T955" s="121"/>
      <c r="U955" s="122"/>
      <c r="V955" s="73"/>
    </row>
    <row r="956" spans="1:22">
      <c r="A956" s="63"/>
      <c r="B956" s="70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  <c r="R956" s="80"/>
      <c r="S956" s="80"/>
      <c r="T956" s="121"/>
      <c r="U956" s="122"/>
      <c r="V956" s="73"/>
    </row>
    <row r="957" spans="1:22">
      <c r="A957" s="63"/>
      <c r="B957" s="70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  <c r="R957" s="80"/>
      <c r="S957" s="80"/>
      <c r="T957" s="121"/>
      <c r="U957" s="122"/>
      <c r="V957" s="73"/>
    </row>
    <row r="958" spans="1:22">
      <c r="A958" s="63"/>
      <c r="B958" s="70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  <c r="R958" s="80"/>
      <c r="S958" s="80"/>
      <c r="T958" s="121"/>
      <c r="U958" s="122"/>
      <c r="V958" s="73"/>
    </row>
    <row r="959" spans="1:22">
      <c r="A959" s="63"/>
      <c r="B959" s="70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  <c r="R959" s="80"/>
      <c r="S959" s="80"/>
      <c r="T959" s="121"/>
      <c r="U959" s="122"/>
      <c r="V959" s="73"/>
    </row>
    <row r="960" spans="1:22">
      <c r="A960" s="63"/>
      <c r="B960" s="70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  <c r="R960" s="80"/>
      <c r="S960" s="80"/>
      <c r="T960" s="121"/>
      <c r="U960" s="122"/>
      <c r="V960" s="73"/>
    </row>
    <row r="961" spans="1:22">
      <c r="A961" s="63"/>
      <c r="B961" s="70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  <c r="R961" s="80"/>
      <c r="S961" s="80"/>
      <c r="T961" s="121"/>
      <c r="U961" s="122"/>
      <c r="V961" s="73"/>
    </row>
    <row r="962" spans="1:22">
      <c r="A962" s="63"/>
      <c r="B962" s="70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  <c r="S962" s="80"/>
      <c r="T962" s="121"/>
      <c r="U962" s="122"/>
      <c r="V962" s="73"/>
    </row>
    <row r="963" spans="1:22">
      <c r="A963" s="63"/>
      <c r="B963" s="70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0"/>
      <c r="N963" s="80"/>
      <c r="O963" s="80"/>
      <c r="P963" s="80"/>
      <c r="Q963" s="80"/>
      <c r="R963" s="80"/>
      <c r="S963" s="80"/>
      <c r="T963" s="121"/>
      <c r="U963" s="122"/>
      <c r="V963" s="73"/>
    </row>
    <row r="964" spans="1:22">
      <c r="A964" s="63"/>
      <c r="B964" s="70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0"/>
      <c r="N964" s="80"/>
      <c r="O964" s="80"/>
      <c r="P964" s="80"/>
      <c r="Q964" s="80"/>
      <c r="R964" s="80"/>
      <c r="S964" s="80"/>
      <c r="T964" s="121"/>
      <c r="U964" s="122"/>
      <c r="V964" s="73"/>
    </row>
    <row r="965" spans="1:22">
      <c r="A965" s="63"/>
      <c r="B965" s="70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0"/>
      <c r="N965" s="80"/>
      <c r="O965" s="80"/>
      <c r="P965" s="80"/>
      <c r="Q965" s="80"/>
      <c r="R965" s="80"/>
      <c r="S965" s="80"/>
      <c r="T965" s="121"/>
      <c r="U965" s="122"/>
      <c r="V965" s="73"/>
    </row>
    <row r="966" spans="1:22">
      <c r="A966" s="63"/>
      <c r="B966" s="70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  <c r="S966" s="80"/>
      <c r="T966" s="121"/>
      <c r="U966" s="122"/>
      <c r="V966" s="73"/>
    </row>
    <row r="967" spans="1:22">
      <c r="A967" s="63"/>
      <c r="B967" s="70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0"/>
      <c r="N967" s="80"/>
      <c r="O967" s="80"/>
      <c r="P967" s="80"/>
      <c r="Q967" s="80"/>
      <c r="R967" s="80"/>
      <c r="S967" s="80"/>
      <c r="T967" s="121"/>
      <c r="U967" s="122"/>
      <c r="V967" s="73"/>
    </row>
    <row r="968" spans="1:22">
      <c r="A968" s="63"/>
      <c r="B968" s="70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0"/>
      <c r="N968" s="80"/>
      <c r="O968" s="80"/>
      <c r="P968" s="80"/>
      <c r="Q968" s="80"/>
      <c r="R968" s="80"/>
      <c r="S968" s="80"/>
      <c r="T968" s="121"/>
      <c r="U968" s="122"/>
      <c r="V968" s="73"/>
    </row>
    <row r="969" spans="1:22">
      <c r="A969" s="63"/>
      <c r="B969" s="70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0"/>
      <c r="N969" s="80"/>
      <c r="O969" s="80"/>
      <c r="P969" s="80"/>
      <c r="Q969" s="80"/>
      <c r="R969" s="80"/>
      <c r="S969" s="80"/>
      <c r="T969" s="121"/>
      <c r="U969" s="122"/>
      <c r="V969" s="73"/>
    </row>
    <row r="970" spans="1:22">
      <c r="A970" s="63"/>
      <c r="B970" s="70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  <c r="S970" s="80"/>
      <c r="T970" s="121"/>
      <c r="U970" s="122"/>
      <c r="V970" s="73"/>
    </row>
    <row r="971" spans="1:22">
      <c r="A971" s="63"/>
      <c r="B971" s="70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0"/>
      <c r="N971" s="80"/>
      <c r="O971" s="80"/>
      <c r="P971" s="80"/>
      <c r="Q971" s="80"/>
      <c r="R971" s="80"/>
      <c r="S971" s="80"/>
      <c r="T971" s="121"/>
      <c r="U971" s="122"/>
      <c r="V971" s="73"/>
    </row>
    <row r="972" spans="1:22">
      <c r="A972" s="63"/>
      <c r="B972" s="70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0"/>
      <c r="N972" s="80"/>
      <c r="O972" s="80"/>
      <c r="P972" s="80"/>
      <c r="Q972" s="80"/>
      <c r="R972" s="80"/>
      <c r="S972" s="80"/>
      <c r="T972" s="121"/>
      <c r="U972" s="122"/>
      <c r="V972" s="73"/>
    </row>
    <row r="973" spans="1:22">
      <c r="A973" s="63"/>
      <c r="B973" s="70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0"/>
      <c r="N973" s="80"/>
      <c r="O973" s="80"/>
      <c r="P973" s="80"/>
      <c r="Q973" s="80"/>
      <c r="R973" s="80"/>
      <c r="S973" s="80"/>
      <c r="T973" s="121"/>
      <c r="U973" s="122"/>
      <c r="V973" s="73"/>
    </row>
    <row r="974" spans="1:22">
      <c r="A974" s="63"/>
      <c r="B974" s="70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0"/>
      <c r="N974" s="80"/>
      <c r="O974" s="80"/>
      <c r="P974" s="80"/>
      <c r="Q974" s="80"/>
      <c r="R974" s="80"/>
      <c r="S974" s="80"/>
      <c r="T974" s="121"/>
      <c r="U974" s="122"/>
      <c r="V974" s="73"/>
    </row>
    <row r="975" spans="1:22">
      <c r="A975" s="63"/>
      <c r="B975" s="70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0"/>
      <c r="N975" s="80"/>
      <c r="O975" s="80"/>
      <c r="P975" s="80"/>
      <c r="Q975" s="80"/>
      <c r="R975" s="80"/>
      <c r="S975" s="80"/>
      <c r="T975" s="121"/>
      <c r="U975" s="122"/>
      <c r="V975" s="73"/>
    </row>
    <row r="976" spans="1:22">
      <c r="A976" s="63"/>
      <c r="B976" s="70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0"/>
      <c r="N976" s="80"/>
      <c r="O976" s="80"/>
      <c r="P976" s="80"/>
      <c r="Q976" s="80"/>
      <c r="R976" s="80"/>
      <c r="S976" s="80"/>
      <c r="T976" s="121"/>
      <c r="U976" s="122"/>
      <c r="V976" s="73"/>
    </row>
    <row r="977" spans="1:22">
      <c r="A977" s="63"/>
      <c r="B977" s="70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0"/>
      <c r="N977" s="80"/>
      <c r="O977" s="80"/>
      <c r="P977" s="80"/>
      <c r="Q977" s="80"/>
      <c r="R977" s="80"/>
      <c r="S977" s="80"/>
      <c r="T977" s="121"/>
      <c r="U977" s="122"/>
      <c r="V977" s="73"/>
    </row>
    <row r="978" spans="1:22">
      <c r="A978" s="63"/>
      <c r="B978" s="70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  <c r="S978" s="80"/>
      <c r="T978" s="121"/>
      <c r="U978" s="122"/>
      <c r="V978" s="73"/>
    </row>
    <row r="979" spans="1:22">
      <c r="A979" s="63"/>
      <c r="B979" s="70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  <c r="R979" s="80"/>
      <c r="S979" s="80"/>
      <c r="T979" s="121"/>
      <c r="U979" s="122"/>
      <c r="V979" s="73"/>
    </row>
    <row r="980" spans="1:22">
      <c r="A980" s="63"/>
      <c r="B980" s="70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  <c r="R980" s="80"/>
      <c r="S980" s="80"/>
      <c r="T980" s="121"/>
      <c r="U980" s="122"/>
      <c r="V980" s="73"/>
    </row>
    <row r="981" spans="1:22">
      <c r="A981" s="63"/>
      <c r="B981" s="70"/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  <c r="R981" s="80"/>
      <c r="S981" s="80"/>
      <c r="T981" s="121"/>
      <c r="U981" s="122"/>
      <c r="V981" s="73"/>
    </row>
    <row r="982" spans="1:22">
      <c r="A982" s="63"/>
      <c r="B982" s="70"/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  <c r="S982" s="80"/>
      <c r="T982" s="121"/>
      <c r="U982" s="122"/>
      <c r="V982" s="73"/>
    </row>
    <row r="983" spans="1:22">
      <c r="A983" s="63"/>
      <c r="B983" s="70"/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  <c r="R983" s="80"/>
      <c r="S983" s="80"/>
      <c r="T983" s="121"/>
      <c r="U983" s="122"/>
      <c r="V983" s="73"/>
    </row>
    <row r="984" spans="1:22">
      <c r="A984" s="63"/>
      <c r="B984" s="70"/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  <c r="R984" s="80"/>
      <c r="S984" s="80"/>
      <c r="T984" s="121"/>
      <c r="U984" s="122"/>
      <c r="V984" s="73"/>
    </row>
    <row r="985" spans="1:22">
      <c r="A985" s="63"/>
      <c r="B985" s="70"/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121"/>
      <c r="U985" s="122"/>
      <c r="V985" s="73"/>
    </row>
    <row r="986" spans="1:22">
      <c r="A986" s="63"/>
      <c r="B986" s="70"/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  <c r="S986" s="80"/>
      <c r="T986" s="121"/>
      <c r="U986" s="122"/>
      <c r="V986" s="73"/>
    </row>
    <row r="987" spans="1:22">
      <c r="A987" s="63"/>
      <c r="B987" s="70"/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  <c r="R987" s="80"/>
      <c r="S987" s="80"/>
      <c r="T987" s="121"/>
      <c r="U987" s="122"/>
      <c r="V987" s="73"/>
    </row>
    <row r="988" spans="1:22">
      <c r="A988" s="63"/>
      <c r="B988" s="70"/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  <c r="R988" s="80"/>
      <c r="S988" s="80"/>
      <c r="T988" s="121"/>
      <c r="U988" s="122"/>
      <c r="V988" s="73"/>
    </row>
    <row r="989" spans="1:22">
      <c r="A989" s="63"/>
      <c r="B989" s="70"/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  <c r="R989" s="80"/>
      <c r="S989" s="80"/>
      <c r="T989" s="121"/>
      <c r="U989" s="122"/>
      <c r="V989" s="73"/>
    </row>
    <row r="990" spans="1:22">
      <c r="A990" s="63"/>
      <c r="B990" s="70"/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  <c r="R990" s="80"/>
      <c r="S990" s="80"/>
      <c r="T990" s="121"/>
      <c r="U990" s="122"/>
      <c r="V990" s="73"/>
    </row>
    <row r="991" spans="1:22">
      <c r="A991" s="63"/>
      <c r="B991" s="70"/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  <c r="R991" s="80"/>
      <c r="S991" s="80"/>
      <c r="T991" s="121"/>
      <c r="U991" s="122"/>
      <c r="V991" s="73"/>
    </row>
    <row r="992" spans="1:22">
      <c r="A992" s="63"/>
      <c r="B992" s="70"/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  <c r="S992" s="80"/>
      <c r="T992" s="121"/>
      <c r="U992" s="122"/>
      <c r="V992" s="73"/>
    </row>
    <row r="993" spans="1:22">
      <c r="A993" s="63"/>
      <c r="B993" s="70"/>
      <c r="C993" s="80"/>
      <c r="D993" s="80"/>
      <c r="E993" s="80"/>
      <c r="F993" s="80"/>
      <c r="G993" s="80"/>
      <c r="H993" s="80"/>
      <c r="I993" s="80"/>
      <c r="J993" s="80"/>
      <c r="K993" s="80"/>
      <c r="L993" s="80"/>
      <c r="M993" s="80"/>
      <c r="N993" s="80"/>
      <c r="O993" s="80"/>
      <c r="P993" s="80"/>
      <c r="Q993" s="80"/>
      <c r="R993" s="80"/>
      <c r="S993" s="80"/>
      <c r="T993" s="121"/>
      <c r="U993" s="122"/>
      <c r="V993" s="73"/>
    </row>
    <row r="994" spans="1:22">
      <c r="A994" s="63"/>
      <c r="B994" s="70"/>
      <c r="C994" s="80"/>
      <c r="D994" s="80"/>
      <c r="E994" s="80"/>
      <c r="F994" s="80"/>
      <c r="G994" s="80"/>
      <c r="H994" s="80"/>
      <c r="I994" s="80"/>
      <c r="J994" s="80"/>
      <c r="K994" s="80"/>
      <c r="L994" s="80"/>
      <c r="M994" s="80"/>
      <c r="N994" s="80"/>
      <c r="O994" s="80"/>
      <c r="P994" s="80"/>
      <c r="Q994" s="80"/>
      <c r="R994" s="80"/>
      <c r="S994" s="80"/>
      <c r="T994" s="121"/>
      <c r="U994" s="122"/>
      <c r="V994" s="73"/>
    </row>
    <row r="995" spans="1:22">
      <c r="A995" s="63"/>
      <c r="B995" s="70"/>
      <c r="C995" s="80"/>
      <c r="D995" s="80"/>
      <c r="E995" s="80"/>
      <c r="F995" s="80"/>
      <c r="G995" s="80"/>
      <c r="H995" s="80"/>
      <c r="I995" s="80"/>
      <c r="J995" s="80"/>
      <c r="K995" s="80"/>
      <c r="L995" s="80"/>
      <c r="M995" s="80"/>
      <c r="N995" s="80"/>
      <c r="O995" s="80"/>
      <c r="P995" s="80"/>
      <c r="Q995" s="80"/>
      <c r="R995" s="80"/>
      <c r="S995" s="80"/>
      <c r="T995" s="121"/>
      <c r="U995" s="122"/>
      <c r="V995" s="73"/>
    </row>
    <row r="996" spans="1:22">
      <c r="A996" s="63"/>
      <c r="B996" s="70"/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  <c r="S996" s="80"/>
      <c r="T996" s="121"/>
      <c r="U996" s="122"/>
      <c r="V996" s="73"/>
    </row>
    <row r="997" spans="1:22">
      <c r="A997" s="63"/>
      <c r="B997" s="70"/>
      <c r="C997" s="80"/>
      <c r="D997" s="80"/>
      <c r="E997" s="80"/>
      <c r="F997" s="80"/>
      <c r="G997" s="80"/>
      <c r="H997" s="80"/>
      <c r="I997" s="80"/>
      <c r="J997" s="80"/>
      <c r="K997" s="80"/>
      <c r="L997" s="80"/>
      <c r="M997" s="80"/>
      <c r="N997" s="80"/>
      <c r="O997" s="80"/>
      <c r="P997" s="80"/>
      <c r="Q997" s="80"/>
      <c r="R997" s="80"/>
      <c r="S997" s="80"/>
      <c r="T997" s="121"/>
      <c r="U997" s="122"/>
      <c r="V997" s="73"/>
    </row>
    <row r="998" spans="1:22">
      <c r="A998" s="63"/>
      <c r="B998" s="70"/>
      <c r="C998" s="80"/>
      <c r="D998" s="80"/>
      <c r="E998" s="80"/>
      <c r="F998" s="80"/>
      <c r="G998" s="80"/>
      <c r="H998" s="80"/>
      <c r="I998" s="80"/>
      <c r="J998" s="80"/>
      <c r="K998" s="80"/>
      <c r="L998" s="80"/>
      <c r="M998" s="80"/>
      <c r="N998" s="80"/>
      <c r="O998" s="80"/>
      <c r="P998" s="80"/>
      <c r="Q998" s="80"/>
      <c r="R998" s="80"/>
      <c r="S998" s="80"/>
      <c r="T998" s="121"/>
      <c r="U998" s="122"/>
      <c r="V998" s="73"/>
    </row>
    <row r="999" spans="1:22">
      <c r="A999" s="63"/>
      <c r="B999" s="70"/>
      <c r="C999" s="80"/>
      <c r="D999" s="80"/>
      <c r="E999" s="80"/>
      <c r="F999" s="80"/>
      <c r="G999" s="80"/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  <c r="S999" s="80"/>
      <c r="T999" s="121"/>
      <c r="U999" s="122"/>
      <c r="V999" s="73"/>
    </row>
    <row r="1000" spans="1:22">
      <c r="A1000" s="63"/>
      <c r="B1000" s="70"/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  <c r="S1000" s="80"/>
      <c r="T1000" s="121"/>
      <c r="U1000" s="122"/>
      <c r="V1000" s="73"/>
    </row>
  </sheetData>
  <mergeCells count="15">
    <mergeCell ref="B1:B3"/>
    <mergeCell ref="C1:C3"/>
    <mergeCell ref="D1:D3"/>
    <mergeCell ref="E1:Q1"/>
    <mergeCell ref="T1:T3"/>
    <mergeCell ref="U1:U3"/>
    <mergeCell ref="E2:E3"/>
    <mergeCell ref="F2:G2"/>
    <mergeCell ref="H2:I2"/>
    <mergeCell ref="J2:K2"/>
    <mergeCell ref="L2:M2"/>
    <mergeCell ref="N2:O2"/>
    <mergeCell ref="P2:Q2"/>
    <mergeCell ref="R1:R3"/>
    <mergeCell ref="S1:S3"/>
  </mergeCells>
  <phoneticPr fontId="13"/>
  <conditionalFormatting sqref="R4:R1048576">
    <cfRule type="containsText" dxfId="385" priority="266" operator="containsText" text="danger">
      <formula>NOT(ISERROR(SEARCH("danger",R4)))</formula>
    </cfRule>
  </conditionalFormatting>
  <conditionalFormatting sqref="R4:R1000">
    <cfRule type="containsText" dxfId="384" priority="149" operator="containsText" text="danger">
      <formula>NOT(ISERROR(SEARCH("danger",R4)))</formula>
    </cfRule>
  </conditionalFormatting>
  <conditionalFormatting sqref="S4:S1048576">
    <cfRule type="containsText" dxfId="383" priority="132" operator="containsText" text="danger">
      <formula>NOT(ISERROR(SEARCH("danger",S4)))</formula>
    </cfRule>
    <cfRule type="containsText" dxfId="382" priority="135" operator="containsText" text="restricted">
      <formula>NOT(ISERROR(SEARCH("restricted",S4)))</formula>
    </cfRule>
  </conditionalFormatting>
  <conditionalFormatting sqref="S4:S1000">
    <cfRule type="containsText" dxfId="381" priority="15" operator="containsText" text="danger">
      <formula>NOT(ISERROR(SEARCH("danger",S4)))</formula>
    </cfRule>
  </conditionalFormatting>
  <dataValidations count="6">
    <dataValidation type="list" allowBlank="1" showInputMessage="1" showErrorMessage="1" sqref="C4:C1000" xr:uid="{25F626B3-1B3C-4032-946D-065B9EC15AB5}">
      <formula1>TargetName</formula1>
    </dataValidation>
    <dataValidation type="list" allowBlank="1" showInputMessage="1" showErrorMessage="1" sqref="S4:S1000" xr:uid="{15DA0721-6C2B-4272-BD78-BC89E48EF4C3}">
      <formula1>"restricted"</formula1>
    </dataValidation>
    <dataValidation type="list" allowBlank="1" showInputMessage="1" showErrorMessage="1" sqref="R4:R1000 R1001:S1048576" xr:uid="{30DA7587-2791-46A3-99B5-B5C171BD7A15}">
      <formula1>"danger"</formula1>
    </dataValidation>
    <dataValidation type="list" allowBlank="1" showInputMessage="1" showErrorMessage="1" sqref="O1001:O1048576 G1001:G1048576 Q1001:Q1048576 M1001:M1048576 K1001:K1048576 I1001:I1048576" xr:uid="{5BE6651A-F217-4A1C-98C0-E8613A8B92B0}">
      <formula1>ParamNotationName</formula1>
    </dataValidation>
    <dataValidation type="list" allowBlank="1" showInputMessage="1" showErrorMessage="1" sqref="C1001:C1048576" xr:uid="{8A0693C6-9685-4786-A5F2-23AF4434DBF2}">
      <formula1>APIDName</formula1>
    </dataValidation>
    <dataValidation type="list" allowBlank="1" showInputMessage="1" showErrorMessage="1" sqref="F4:F1048576 H4:H1048576 J4:J1048576 L4:L1048576 N4:N1048576 P4:P1048576" xr:uid="{20655084-5E50-4346-8797-145DD042E5F1}">
      <formula1>ParamTypeName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085C9-A0AD-44B8-8740-7F12091C814D}">
  <sheetPr codeName="Sheet8"/>
  <dimension ref="A1:L300"/>
  <sheetViews>
    <sheetView zoomScale="85" zoomScaleNormal="85" workbookViewId="0">
      <selection sqref="A1:A2"/>
    </sheetView>
  </sheetViews>
  <sheetFormatPr defaultColWidth="8.875" defaultRowHeight="15"/>
  <cols>
    <col min="1" max="1" width="8.875" style="17"/>
    <col min="2" max="2" width="59" style="17" bestFit="1" customWidth="1"/>
    <col min="3" max="3" width="26.5" style="17" bestFit="1" customWidth="1"/>
    <col min="4" max="10" width="8.875" style="17"/>
    <col min="11" max="11" width="11" style="17" bestFit="1" customWidth="1"/>
    <col min="12" max="12" width="54.5" style="17" bestFit="1" customWidth="1"/>
    <col min="13" max="16384" width="8.875" style="65"/>
  </cols>
  <sheetData>
    <row r="1" spans="1:12">
      <c r="A1" s="117" t="s">
        <v>115</v>
      </c>
      <c r="B1" s="111" t="s">
        <v>11</v>
      </c>
      <c r="C1" s="111" t="s">
        <v>165</v>
      </c>
      <c r="D1" s="111" t="s">
        <v>166</v>
      </c>
      <c r="E1" s="115" t="s">
        <v>167</v>
      </c>
      <c r="F1" s="115"/>
      <c r="G1" s="115"/>
      <c r="H1" s="115"/>
      <c r="I1" s="115"/>
      <c r="J1" s="111" t="s">
        <v>164</v>
      </c>
      <c r="K1" s="111" t="s">
        <v>10</v>
      </c>
      <c r="L1" s="111" t="s">
        <v>160</v>
      </c>
    </row>
    <row r="2" spans="1:12" ht="28.5">
      <c r="A2" s="117"/>
      <c r="B2" s="111"/>
      <c r="C2" s="111"/>
      <c r="D2" s="111"/>
      <c r="E2" s="77" t="s">
        <v>168</v>
      </c>
      <c r="F2" s="77" t="s">
        <v>169</v>
      </c>
      <c r="G2" s="77" t="s">
        <v>170</v>
      </c>
      <c r="H2" s="77" t="s">
        <v>171</v>
      </c>
      <c r="I2" s="77" t="s">
        <v>172</v>
      </c>
      <c r="J2" s="111"/>
      <c r="K2" s="111"/>
      <c r="L2" s="111"/>
    </row>
    <row r="3" spans="1:12" ht="15.75">
      <c r="A3" s="78"/>
      <c r="B3" s="76"/>
      <c r="C3" s="76"/>
      <c r="D3" s="75"/>
      <c r="E3" s="75"/>
      <c r="F3" s="75"/>
      <c r="G3" s="75"/>
      <c r="H3" s="75"/>
      <c r="I3" s="75"/>
      <c r="J3" s="75"/>
      <c r="K3" s="79"/>
      <c r="L3" s="79"/>
    </row>
    <row r="4" spans="1:12" ht="15.75">
      <c r="A4" s="78"/>
      <c r="B4" s="76"/>
      <c r="C4" s="76"/>
      <c r="D4" s="75"/>
      <c r="E4" s="75"/>
      <c r="F4" s="75"/>
      <c r="G4" s="75"/>
      <c r="H4" s="75"/>
      <c r="I4" s="75"/>
      <c r="J4" s="75"/>
      <c r="K4" s="79"/>
      <c r="L4" s="79"/>
    </row>
    <row r="5" spans="1:12" ht="15.75">
      <c r="A5" s="78"/>
      <c r="B5" s="76"/>
      <c r="C5" s="76"/>
      <c r="D5" s="75"/>
      <c r="E5" s="75"/>
      <c r="F5" s="75"/>
      <c r="G5" s="75"/>
      <c r="H5" s="75"/>
      <c r="I5" s="75"/>
      <c r="J5" s="75"/>
      <c r="K5" s="79"/>
      <c r="L5" s="79"/>
    </row>
    <row r="6" spans="1:12" ht="15.75">
      <c r="A6" s="78"/>
      <c r="B6" s="76"/>
      <c r="C6" s="76"/>
      <c r="D6" s="75"/>
      <c r="E6" s="75"/>
      <c r="F6" s="75"/>
      <c r="G6" s="75"/>
      <c r="H6" s="75"/>
      <c r="I6" s="75"/>
      <c r="J6" s="75"/>
      <c r="K6" s="79"/>
      <c r="L6" s="79"/>
    </row>
    <row r="7" spans="1:12" ht="15.75">
      <c r="A7" s="78"/>
      <c r="B7" s="76"/>
      <c r="C7" s="76"/>
      <c r="D7" s="75"/>
      <c r="E7" s="75"/>
      <c r="F7" s="75"/>
      <c r="G7" s="75"/>
      <c r="H7" s="75"/>
      <c r="I7" s="75"/>
      <c r="J7" s="75"/>
      <c r="K7" s="79"/>
      <c r="L7" s="79"/>
    </row>
    <row r="8" spans="1:12" ht="15.75">
      <c r="A8" s="78"/>
      <c r="B8" s="76"/>
      <c r="C8" s="76"/>
      <c r="D8" s="75"/>
      <c r="E8" s="75"/>
      <c r="F8" s="75"/>
      <c r="G8" s="75"/>
      <c r="H8" s="75"/>
      <c r="I8" s="75"/>
      <c r="J8" s="75"/>
      <c r="K8" s="79"/>
      <c r="L8" s="79"/>
    </row>
    <row r="9" spans="1:12" ht="15.75">
      <c r="A9" s="78"/>
      <c r="B9" s="76"/>
      <c r="C9" s="76"/>
      <c r="D9" s="75"/>
      <c r="E9" s="75"/>
      <c r="F9" s="75"/>
      <c r="G9" s="75"/>
      <c r="H9" s="75"/>
      <c r="I9" s="75"/>
      <c r="J9" s="75"/>
      <c r="K9" s="79"/>
      <c r="L9" s="79"/>
    </row>
    <row r="10" spans="1:12" ht="15.75">
      <c r="A10" s="78"/>
      <c r="B10" s="76"/>
      <c r="C10" s="76"/>
      <c r="D10" s="75"/>
      <c r="E10" s="75"/>
      <c r="F10" s="75"/>
      <c r="G10" s="75"/>
      <c r="H10" s="75"/>
      <c r="I10" s="75"/>
      <c r="J10" s="75"/>
      <c r="K10" s="79"/>
      <c r="L10" s="79"/>
    </row>
    <row r="11" spans="1:12" ht="15.75">
      <c r="A11" s="78"/>
      <c r="B11" s="76"/>
      <c r="C11" s="76"/>
      <c r="D11" s="75"/>
      <c r="E11" s="75"/>
      <c r="F11" s="75"/>
      <c r="G11" s="75"/>
      <c r="H11" s="75"/>
      <c r="I11" s="75"/>
      <c r="J11" s="75"/>
      <c r="K11" s="79"/>
      <c r="L11" s="79"/>
    </row>
    <row r="12" spans="1:12" ht="15.75">
      <c r="A12" s="78"/>
      <c r="B12" s="76"/>
      <c r="C12" s="76"/>
      <c r="D12" s="75"/>
      <c r="E12" s="75"/>
      <c r="F12" s="75"/>
      <c r="G12" s="75"/>
      <c r="H12" s="75"/>
      <c r="I12" s="75"/>
      <c r="J12" s="75"/>
      <c r="K12" s="79"/>
      <c r="L12" s="79"/>
    </row>
    <row r="13" spans="1:12" ht="15.75">
      <c r="A13" s="78"/>
      <c r="B13" s="76"/>
      <c r="C13" s="76"/>
      <c r="D13" s="75"/>
      <c r="E13" s="75"/>
      <c r="F13" s="75"/>
      <c r="G13" s="75"/>
      <c r="H13" s="75"/>
      <c r="I13" s="75"/>
      <c r="J13" s="75"/>
      <c r="K13" s="79"/>
      <c r="L13" s="79"/>
    </row>
    <row r="14" spans="1:12" ht="15.75">
      <c r="A14" s="78"/>
      <c r="B14" s="76"/>
      <c r="C14" s="76"/>
      <c r="D14" s="75"/>
      <c r="E14" s="75"/>
      <c r="F14" s="75"/>
      <c r="G14" s="75"/>
      <c r="H14" s="75"/>
      <c r="I14" s="75"/>
      <c r="J14" s="75"/>
      <c r="K14" s="79"/>
      <c r="L14" s="79"/>
    </row>
    <row r="15" spans="1:12" ht="15.75">
      <c r="A15" s="78"/>
      <c r="B15" s="76"/>
      <c r="C15" s="76"/>
      <c r="D15" s="75"/>
      <c r="E15" s="75"/>
      <c r="F15" s="75"/>
      <c r="G15" s="75"/>
      <c r="H15" s="75"/>
      <c r="I15" s="75"/>
      <c r="J15" s="75"/>
      <c r="K15" s="79"/>
      <c r="L15" s="79"/>
    </row>
    <row r="16" spans="1:12" ht="15.75">
      <c r="A16" s="78"/>
      <c r="B16" s="76"/>
      <c r="C16" s="76"/>
      <c r="D16" s="75"/>
      <c r="E16" s="75"/>
      <c r="F16" s="75"/>
      <c r="G16" s="75"/>
      <c r="H16" s="75"/>
      <c r="I16" s="75"/>
      <c r="J16" s="75"/>
      <c r="K16" s="79"/>
      <c r="L16" s="79"/>
    </row>
    <row r="17" spans="1:12" ht="15.75">
      <c r="A17" s="78"/>
      <c r="B17" s="76"/>
      <c r="C17" s="76"/>
      <c r="D17" s="75"/>
      <c r="E17" s="75"/>
      <c r="F17" s="75"/>
      <c r="G17" s="75"/>
      <c r="H17" s="75"/>
      <c r="I17" s="75"/>
      <c r="J17" s="75"/>
      <c r="K17" s="79"/>
      <c r="L17" s="79"/>
    </row>
    <row r="18" spans="1:12" ht="15.75">
      <c r="A18" s="78"/>
      <c r="B18" s="76"/>
      <c r="C18" s="76"/>
      <c r="D18" s="75"/>
      <c r="E18" s="75"/>
      <c r="F18" s="75"/>
      <c r="G18" s="75"/>
      <c r="H18" s="75"/>
      <c r="I18" s="75"/>
      <c r="J18" s="75"/>
      <c r="K18" s="79"/>
      <c r="L18" s="79"/>
    </row>
    <row r="19" spans="1:12" ht="15.75">
      <c r="A19" s="78"/>
      <c r="B19" s="76"/>
      <c r="C19" s="76"/>
      <c r="D19" s="75"/>
      <c r="E19" s="75"/>
      <c r="F19" s="75"/>
      <c r="G19" s="75"/>
      <c r="H19" s="75"/>
      <c r="I19" s="75"/>
      <c r="J19" s="75"/>
      <c r="K19" s="79"/>
      <c r="L19" s="79"/>
    </row>
    <row r="20" spans="1:12" ht="15.75">
      <c r="A20" s="78"/>
      <c r="B20" s="76"/>
      <c r="C20" s="76"/>
      <c r="D20" s="75"/>
      <c r="E20" s="75"/>
      <c r="F20" s="75"/>
      <c r="G20" s="75"/>
      <c r="H20" s="75"/>
      <c r="I20" s="75"/>
      <c r="J20" s="75"/>
      <c r="K20" s="79"/>
      <c r="L20" s="79"/>
    </row>
    <row r="21" spans="1:12" ht="15.75">
      <c r="A21" s="78"/>
      <c r="B21" s="76"/>
      <c r="C21" s="76"/>
      <c r="D21" s="75"/>
      <c r="E21" s="75"/>
      <c r="F21" s="75"/>
      <c r="G21" s="75"/>
      <c r="H21" s="75"/>
      <c r="I21" s="75"/>
      <c r="J21" s="75"/>
      <c r="K21" s="79"/>
      <c r="L21" s="79"/>
    </row>
    <row r="22" spans="1:12" ht="15.75">
      <c r="A22" s="78"/>
      <c r="B22" s="76"/>
      <c r="C22" s="76"/>
      <c r="D22" s="75"/>
      <c r="E22" s="75"/>
      <c r="F22" s="75"/>
      <c r="G22" s="75"/>
      <c r="H22" s="75"/>
      <c r="I22" s="75"/>
      <c r="J22" s="75"/>
      <c r="K22" s="79"/>
      <c r="L22" s="79"/>
    </row>
    <row r="23" spans="1:12" ht="15.75">
      <c r="A23" s="78"/>
      <c r="B23" s="76"/>
      <c r="C23" s="76"/>
      <c r="D23" s="75"/>
      <c r="E23" s="75"/>
      <c r="F23" s="75"/>
      <c r="G23" s="75"/>
      <c r="H23" s="75"/>
      <c r="I23" s="75"/>
      <c r="J23" s="75"/>
      <c r="K23" s="79"/>
      <c r="L23" s="79"/>
    </row>
    <row r="24" spans="1:12" ht="15.75">
      <c r="A24" s="78"/>
      <c r="B24" s="76"/>
      <c r="C24" s="76"/>
      <c r="D24" s="75"/>
      <c r="E24" s="75"/>
      <c r="F24" s="75"/>
      <c r="G24" s="75"/>
      <c r="H24" s="75"/>
      <c r="I24" s="75"/>
      <c r="J24" s="75"/>
      <c r="K24" s="79"/>
      <c r="L24" s="79"/>
    </row>
    <row r="25" spans="1:12" ht="15.75">
      <c r="A25" s="78"/>
      <c r="B25" s="76"/>
      <c r="C25" s="76"/>
      <c r="D25" s="75"/>
      <c r="E25" s="75"/>
      <c r="F25" s="75"/>
      <c r="G25" s="75"/>
      <c r="H25" s="75"/>
      <c r="I25" s="75"/>
      <c r="J25" s="75"/>
      <c r="K25" s="79"/>
      <c r="L25" s="79"/>
    </row>
    <row r="26" spans="1:12" ht="15.75">
      <c r="A26" s="78"/>
      <c r="B26" s="76"/>
      <c r="C26" s="76"/>
      <c r="D26" s="75"/>
      <c r="E26" s="75"/>
      <c r="F26" s="75"/>
      <c r="G26" s="75"/>
      <c r="H26" s="75"/>
      <c r="I26" s="75"/>
      <c r="J26" s="75"/>
      <c r="K26" s="79"/>
      <c r="L26" s="79"/>
    </row>
    <row r="27" spans="1:12" ht="15.75">
      <c r="A27" s="78"/>
      <c r="B27" s="76"/>
      <c r="C27" s="76"/>
      <c r="D27" s="75"/>
      <c r="E27" s="75"/>
      <c r="F27" s="75"/>
      <c r="G27" s="75"/>
      <c r="H27" s="75"/>
      <c r="I27" s="75"/>
      <c r="J27" s="75"/>
      <c r="K27" s="79"/>
      <c r="L27" s="79"/>
    </row>
    <row r="28" spans="1:12" ht="15.75">
      <c r="A28" s="78"/>
      <c r="B28" s="76"/>
      <c r="C28" s="76"/>
      <c r="D28" s="75"/>
      <c r="E28" s="75"/>
      <c r="F28" s="75"/>
      <c r="G28" s="75"/>
      <c r="H28" s="75"/>
      <c r="I28" s="75"/>
      <c r="J28" s="75"/>
      <c r="K28" s="79"/>
      <c r="L28" s="79"/>
    </row>
    <row r="29" spans="1:12" ht="15.75">
      <c r="A29" s="78"/>
      <c r="B29" s="76"/>
      <c r="C29" s="76"/>
      <c r="D29" s="75"/>
      <c r="E29" s="75"/>
      <c r="F29" s="75"/>
      <c r="G29" s="75"/>
      <c r="H29" s="75"/>
      <c r="I29" s="75"/>
      <c r="J29" s="75"/>
      <c r="K29" s="79"/>
      <c r="L29" s="79"/>
    </row>
    <row r="30" spans="1:12" ht="15.75">
      <c r="A30" s="78"/>
      <c r="B30" s="76"/>
      <c r="C30" s="76"/>
      <c r="D30" s="75"/>
      <c r="E30" s="75"/>
      <c r="F30" s="75"/>
      <c r="G30" s="75"/>
      <c r="H30" s="75"/>
      <c r="I30" s="75"/>
      <c r="J30" s="75"/>
      <c r="K30" s="79"/>
      <c r="L30" s="79"/>
    </row>
    <row r="31" spans="1:12" ht="15.75">
      <c r="A31" s="78"/>
      <c r="B31" s="76"/>
      <c r="C31" s="76"/>
      <c r="D31" s="75"/>
      <c r="E31" s="75"/>
      <c r="F31" s="75"/>
      <c r="G31" s="75"/>
      <c r="H31" s="75"/>
      <c r="I31" s="75"/>
      <c r="J31" s="75"/>
      <c r="K31" s="79"/>
      <c r="L31" s="79"/>
    </row>
    <row r="32" spans="1:12" ht="15.75">
      <c r="A32" s="78"/>
      <c r="B32" s="76"/>
      <c r="C32" s="76"/>
      <c r="D32" s="75"/>
      <c r="E32" s="75"/>
      <c r="F32" s="75"/>
      <c r="G32" s="75"/>
      <c r="H32" s="75"/>
      <c r="I32" s="75"/>
      <c r="J32" s="75"/>
      <c r="K32" s="79"/>
      <c r="L32" s="79"/>
    </row>
    <row r="33" spans="1:12" ht="15.75">
      <c r="A33" s="78"/>
      <c r="B33" s="76"/>
      <c r="C33" s="76"/>
      <c r="D33" s="75"/>
      <c r="E33" s="75"/>
      <c r="F33" s="75"/>
      <c r="G33" s="75"/>
      <c r="H33" s="75"/>
      <c r="I33" s="75"/>
      <c r="J33" s="75"/>
      <c r="K33" s="79"/>
      <c r="L33" s="79"/>
    </row>
    <row r="34" spans="1:12" ht="15.75">
      <c r="A34" s="78"/>
      <c r="B34" s="76"/>
      <c r="C34" s="76"/>
      <c r="D34" s="75"/>
      <c r="E34" s="75"/>
      <c r="F34" s="75"/>
      <c r="G34" s="75"/>
      <c r="H34" s="75"/>
      <c r="I34" s="75"/>
      <c r="J34" s="75"/>
      <c r="K34" s="79"/>
      <c r="L34" s="79"/>
    </row>
    <row r="35" spans="1:12" ht="15.75">
      <c r="A35" s="78"/>
      <c r="B35" s="76"/>
      <c r="C35" s="76"/>
      <c r="D35" s="75"/>
      <c r="E35" s="75"/>
      <c r="F35" s="75"/>
      <c r="G35" s="75"/>
      <c r="H35" s="75"/>
      <c r="I35" s="75"/>
      <c r="J35" s="75"/>
      <c r="K35" s="79"/>
      <c r="L35" s="79"/>
    </row>
    <row r="36" spans="1:12" ht="15.75">
      <c r="A36" s="78"/>
      <c r="B36" s="76"/>
      <c r="C36" s="76"/>
      <c r="D36" s="75"/>
      <c r="E36" s="75"/>
      <c r="F36" s="75"/>
      <c r="G36" s="75"/>
      <c r="H36" s="75"/>
      <c r="I36" s="75"/>
      <c r="J36" s="75"/>
      <c r="K36" s="79"/>
      <c r="L36" s="79"/>
    </row>
    <row r="37" spans="1:12" ht="15.75">
      <c r="A37" s="78"/>
      <c r="B37" s="76"/>
      <c r="C37" s="76"/>
      <c r="D37" s="75"/>
      <c r="E37" s="75"/>
      <c r="F37" s="75"/>
      <c r="G37" s="75"/>
      <c r="H37" s="75"/>
      <c r="I37" s="75"/>
      <c r="J37" s="75"/>
      <c r="K37" s="79"/>
      <c r="L37" s="79"/>
    </row>
    <row r="38" spans="1:12" ht="15.75">
      <c r="A38" s="78"/>
      <c r="B38" s="76"/>
      <c r="C38" s="76"/>
      <c r="D38" s="75"/>
      <c r="E38" s="75"/>
      <c r="F38" s="75"/>
      <c r="G38" s="75"/>
      <c r="H38" s="75"/>
      <c r="I38" s="75"/>
      <c r="J38" s="75"/>
      <c r="K38" s="79"/>
      <c r="L38" s="79"/>
    </row>
    <row r="39" spans="1:12" ht="15.75">
      <c r="A39" s="78"/>
      <c r="B39" s="76"/>
      <c r="C39" s="76"/>
      <c r="D39" s="75"/>
      <c r="E39" s="75"/>
      <c r="F39" s="75"/>
      <c r="G39" s="75"/>
      <c r="H39" s="75"/>
      <c r="I39" s="75"/>
      <c r="J39" s="75"/>
      <c r="K39" s="79"/>
      <c r="L39" s="79"/>
    </row>
    <row r="40" spans="1:12" ht="15.75">
      <c r="A40" s="78"/>
      <c r="B40" s="76"/>
      <c r="C40" s="76"/>
      <c r="D40" s="75"/>
      <c r="E40" s="75"/>
      <c r="F40" s="75"/>
      <c r="G40" s="75"/>
      <c r="H40" s="75"/>
      <c r="I40" s="75"/>
      <c r="J40" s="75"/>
      <c r="K40" s="79"/>
      <c r="L40" s="79"/>
    </row>
    <row r="41" spans="1:12" ht="15.75">
      <c r="A41" s="78"/>
      <c r="B41" s="76"/>
      <c r="C41" s="76"/>
      <c r="D41" s="75"/>
      <c r="E41" s="75"/>
      <c r="F41" s="75"/>
      <c r="G41" s="75"/>
      <c r="H41" s="75"/>
      <c r="I41" s="75"/>
      <c r="J41" s="75"/>
      <c r="K41" s="79"/>
      <c r="L41" s="79"/>
    </row>
    <row r="42" spans="1:12" ht="15.75">
      <c r="A42" s="78"/>
      <c r="B42" s="76"/>
      <c r="C42" s="76"/>
      <c r="D42" s="75"/>
      <c r="E42" s="75"/>
      <c r="F42" s="75"/>
      <c r="G42" s="75"/>
      <c r="H42" s="75"/>
      <c r="I42" s="75"/>
      <c r="J42" s="75"/>
      <c r="K42" s="79"/>
      <c r="L42" s="79"/>
    </row>
    <row r="43" spans="1:12" ht="15.75">
      <c r="A43" s="78"/>
      <c r="B43" s="76"/>
      <c r="C43" s="76"/>
      <c r="D43" s="75"/>
      <c r="E43" s="75"/>
      <c r="F43" s="75"/>
      <c r="G43" s="75"/>
      <c r="H43" s="75"/>
      <c r="I43" s="75"/>
      <c r="J43" s="75"/>
      <c r="K43" s="79"/>
      <c r="L43" s="79"/>
    </row>
    <row r="44" spans="1:12" ht="15.75">
      <c r="A44" s="78"/>
      <c r="B44" s="76"/>
      <c r="C44" s="76"/>
      <c r="D44" s="75"/>
      <c r="E44" s="75"/>
      <c r="F44" s="75"/>
      <c r="G44" s="75"/>
      <c r="H44" s="75"/>
      <c r="I44" s="75"/>
      <c r="J44" s="75"/>
      <c r="K44" s="79"/>
      <c r="L44" s="79"/>
    </row>
    <row r="45" spans="1:12" ht="15.75">
      <c r="A45" s="78"/>
      <c r="B45" s="76"/>
      <c r="C45" s="76"/>
      <c r="D45" s="75"/>
      <c r="E45" s="75"/>
      <c r="F45" s="75"/>
      <c r="G45" s="75"/>
      <c r="H45" s="75"/>
      <c r="I45" s="75"/>
      <c r="J45" s="75"/>
      <c r="K45" s="79"/>
      <c r="L45" s="79"/>
    </row>
    <row r="46" spans="1:12" ht="15.75">
      <c r="A46" s="78"/>
      <c r="B46" s="76"/>
      <c r="C46" s="76"/>
      <c r="D46" s="75"/>
      <c r="E46" s="75"/>
      <c r="F46" s="75"/>
      <c r="G46" s="75"/>
      <c r="H46" s="75"/>
      <c r="I46" s="75"/>
      <c r="J46" s="75"/>
      <c r="K46" s="79"/>
      <c r="L46" s="79"/>
    </row>
    <row r="47" spans="1:12" ht="15.75">
      <c r="A47" s="78"/>
      <c r="B47" s="76"/>
      <c r="C47" s="76"/>
      <c r="D47" s="75"/>
      <c r="E47" s="75"/>
      <c r="F47" s="75"/>
      <c r="G47" s="75"/>
      <c r="H47" s="75"/>
      <c r="I47" s="75"/>
      <c r="J47" s="75"/>
      <c r="K47" s="79"/>
      <c r="L47" s="79"/>
    </row>
    <row r="48" spans="1:12" ht="15.75">
      <c r="A48" s="78"/>
      <c r="B48" s="76"/>
      <c r="C48" s="76"/>
      <c r="D48" s="75"/>
      <c r="E48" s="75"/>
      <c r="F48" s="75"/>
      <c r="G48" s="75"/>
      <c r="H48" s="75"/>
      <c r="I48" s="75"/>
      <c r="J48" s="75"/>
      <c r="K48" s="79"/>
      <c r="L48" s="79"/>
    </row>
    <row r="49" spans="1:12" ht="15.75">
      <c r="A49" s="78"/>
      <c r="B49" s="76"/>
      <c r="C49" s="76"/>
      <c r="D49" s="75"/>
      <c r="E49" s="75"/>
      <c r="F49" s="75"/>
      <c r="G49" s="75"/>
      <c r="H49" s="75"/>
      <c r="I49" s="75"/>
      <c r="J49" s="75"/>
      <c r="K49" s="79"/>
      <c r="L49" s="79"/>
    </row>
    <row r="50" spans="1:12" ht="15.75">
      <c r="A50" s="78"/>
      <c r="B50" s="76"/>
      <c r="C50" s="76"/>
      <c r="D50" s="75"/>
      <c r="E50" s="75"/>
      <c r="F50" s="75"/>
      <c r="G50" s="75"/>
      <c r="H50" s="75"/>
      <c r="I50" s="75"/>
      <c r="J50" s="75"/>
      <c r="K50" s="79"/>
      <c r="L50" s="79"/>
    </row>
    <row r="51" spans="1:12" ht="15.75">
      <c r="A51" s="78"/>
      <c r="B51" s="76"/>
      <c r="C51" s="76"/>
      <c r="D51" s="75"/>
      <c r="E51" s="75"/>
      <c r="F51" s="75"/>
      <c r="G51" s="75"/>
      <c r="H51" s="75"/>
      <c r="I51" s="75"/>
      <c r="J51" s="75"/>
      <c r="K51" s="79"/>
      <c r="L51" s="79"/>
    </row>
    <row r="52" spans="1:12" ht="15.75">
      <c r="A52" s="78"/>
      <c r="B52" s="76"/>
      <c r="C52" s="76"/>
      <c r="D52" s="75"/>
      <c r="E52" s="75"/>
      <c r="F52" s="75"/>
      <c r="G52" s="75"/>
      <c r="H52" s="75"/>
      <c r="I52" s="75"/>
      <c r="J52" s="75"/>
      <c r="K52" s="79"/>
      <c r="L52" s="79"/>
    </row>
    <row r="53" spans="1:12" ht="15.75">
      <c r="A53" s="78"/>
      <c r="B53" s="76"/>
      <c r="C53" s="76"/>
      <c r="D53" s="75"/>
      <c r="E53" s="75"/>
      <c r="F53" s="75"/>
      <c r="G53" s="75"/>
      <c r="H53" s="75"/>
      <c r="I53" s="75"/>
      <c r="J53" s="75"/>
      <c r="K53" s="79"/>
      <c r="L53" s="79"/>
    </row>
    <row r="54" spans="1:12" ht="15.75">
      <c r="A54" s="78"/>
      <c r="B54" s="76"/>
      <c r="C54" s="76"/>
      <c r="D54" s="75"/>
      <c r="E54" s="75"/>
      <c r="F54" s="75"/>
      <c r="G54" s="75"/>
      <c r="H54" s="75"/>
      <c r="I54" s="75"/>
      <c r="J54" s="75"/>
      <c r="K54" s="79"/>
      <c r="L54" s="79"/>
    </row>
    <row r="55" spans="1:12" ht="15.75">
      <c r="A55" s="78"/>
      <c r="B55" s="76"/>
      <c r="C55" s="76"/>
      <c r="D55" s="75"/>
      <c r="E55" s="75"/>
      <c r="F55" s="75"/>
      <c r="G55" s="75"/>
      <c r="H55" s="75"/>
      <c r="I55" s="75"/>
      <c r="J55" s="75"/>
      <c r="K55" s="79"/>
      <c r="L55" s="79"/>
    </row>
    <row r="56" spans="1:12" ht="15.75">
      <c r="A56" s="78"/>
      <c r="B56" s="76"/>
      <c r="C56" s="76"/>
      <c r="D56" s="75"/>
      <c r="E56" s="75"/>
      <c r="F56" s="75"/>
      <c r="G56" s="75"/>
      <c r="H56" s="75"/>
      <c r="I56" s="75"/>
      <c r="J56" s="75"/>
      <c r="K56" s="79"/>
      <c r="L56" s="79"/>
    </row>
    <row r="57" spans="1:12" ht="15.75">
      <c r="A57" s="78"/>
      <c r="B57" s="76"/>
      <c r="C57" s="76"/>
      <c r="D57" s="75"/>
      <c r="E57" s="75"/>
      <c r="F57" s="75"/>
      <c r="G57" s="75"/>
      <c r="H57" s="75"/>
      <c r="I57" s="75"/>
      <c r="J57" s="75"/>
      <c r="K57" s="79"/>
      <c r="L57" s="79"/>
    </row>
    <row r="58" spans="1:12" ht="15.75">
      <c r="A58" s="78"/>
      <c r="B58" s="76"/>
      <c r="C58" s="76"/>
      <c r="D58" s="75"/>
      <c r="E58" s="75"/>
      <c r="F58" s="75"/>
      <c r="G58" s="75"/>
      <c r="H58" s="75"/>
      <c r="I58" s="75"/>
      <c r="J58" s="75"/>
      <c r="K58" s="79"/>
      <c r="L58" s="79"/>
    </row>
    <row r="59" spans="1:12" ht="15.75">
      <c r="A59" s="78"/>
      <c r="B59" s="76"/>
      <c r="C59" s="76"/>
      <c r="D59" s="75"/>
      <c r="E59" s="75"/>
      <c r="F59" s="75"/>
      <c r="G59" s="75"/>
      <c r="H59" s="75"/>
      <c r="I59" s="75"/>
      <c r="J59" s="75"/>
      <c r="K59" s="79"/>
      <c r="L59" s="79"/>
    </row>
    <row r="60" spans="1:12" ht="15.75">
      <c r="A60" s="78"/>
      <c r="B60" s="76"/>
      <c r="C60" s="76"/>
      <c r="D60" s="75"/>
      <c r="E60" s="75"/>
      <c r="F60" s="75"/>
      <c r="G60" s="75"/>
      <c r="H60" s="75"/>
      <c r="I60" s="75"/>
      <c r="J60" s="75"/>
      <c r="K60" s="79"/>
      <c r="L60" s="79"/>
    </row>
    <row r="61" spans="1:12" ht="15.75">
      <c r="A61" s="78"/>
      <c r="B61" s="76"/>
      <c r="C61" s="76"/>
      <c r="D61" s="75"/>
      <c r="E61" s="75"/>
      <c r="F61" s="75"/>
      <c r="G61" s="75"/>
      <c r="H61" s="75"/>
      <c r="I61" s="75"/>
      <c r="J61" s="75"/>
      <c r="K61" s="79"/>
      <c r="L61" s="79"/>
    </row>
    <row r="62" spans="1:12" ht="15.75">
      <c r="A62" s="78"/>
      <c r="B62" s="76"/>
      <c r="C62" s="76"/>
      <c r="D62" s="75"/>
      <c r="E62" s="75"/>
      <c r="F62" s="75"/>
      <c r="G62" s="75"/>
      <c r="H62" s="75"/>
      <c r="I62" s="75"/>
      <c r="J62" s="75"/>
      <c r="K62" s="79"/>
      <c r="L62" s="79"/>
    </row>
    <row r="63" spans="1:12" ht="15.75">
      <c r="A63" s="78"/>
      <c r="B63" s="76"/>
      <c r="C63" s="76"/>
      <c r="D63" s="75"/>
      <c r="E63" s="75"/>
      <c r="F63" s="75"/>
      <c r="G63" s="75"/>
      <c r="H63" s="75"/>
      <c r="I63" s="75"/>
      <c r="J63" s="75"/>
      <c r="K63" s="79"/>
      <c r="L63" s="79"/>
    </row>
    <row r="64" spans="1:12" ht="15.75">
      <c r="A64" s="78"/>
      <c r="B64" s="76"/>
      <c r="C64" s="76"/>
      <c r="D64" s="75"/>
      <c r="E64" s="75"/>
      <c r="F64" s="75"/>
      <c r="G64" s="75"/>
      <c r="H64" s="75"/>
      <c r="I64" s="75"/>
      <c r="J64" s="75"/>
      <c r="K64" s="79"/>
      <c r="L64" s="79"/>
    </row>
    <row r="65" spans="1:12" ht="15.75">
      <c r="A65" s="78"/>
      <c r="B65" s="76"/>
      <c r="C65" s="76"/>
      <c r="D65" s="75"/>
      <c r="E65" s="75"/>
      <c r="F65" s="75"/>
      <c r="G65" s="75"/>
      <c r="H65" s="75"/>
      <c r="I65" s="75"/>
      <c r="J65" s="75"/>
      <c r="K65" s="79"/>
      <c r="L65" s="79"/>
    </row>
    <row r="66" spans="1:12" ht="15.75">
      <c r="A66" s="78"/>
      <c r="B66" s="76"/>
      <c r="C66" s="76"/>
      <c r="D66" s="75"/>
      <c r="E66" s="75"/>
      <c r="F66" s="75"/>
      <c r="G66" s="75"/>
      <c r="H66" s="75"/>
      <c r="I66" s="75"/>
      <c r="J66" s="75"/>
      <c r="K66" s="79"/>
      <c r="L66" s="79"/>
    </row>
    <row r="67" spans="1:12" ht="15.75">
      <c r="A67" s="78"/>
      <c r="B67" s="76"/>
      <c r="C67" s="76"/>
      <c r="D67" s="75"/>
      <c r="E67" s="75"/>
      <c r="F67" s="75"/>
      <c r="G67" s="75"/>
      <c r="H67" s="75"/>
      <c r="I67" s="75"/>
      <c r="J67" s="75"/>
      <c r="K67" s="79"/>
      <c r="L67" s="79"/>
    </row>
    <row r="68" spans="1:12" ht="15.75">
      <c r="A68" s="78"/>
      <c r="B68" s="76"/>
      <c r="C68" s="76"/>
      <c r="D68" s="75"/>
      <c r="E68" s="75"/>
      <c r="F68" s="75"/>
      <c r="G68" s="75"/>
      <c r="H68" s="75"/>
      <c r="I68" s="75"/>
      <c r="J68" s="75"/>
      <c r="K68" s="79"/>
      <c r="L68" s="79"/>
    </row>
    <row r="69" spans="1:12" ht="15.75">
      <c r="A69" s="78"/>
      <c r="B69" s="76"/>
      <c r="C69" s="76"/>
      <c r="D69" s="75"/>
      <c r="E69" s="75"/>
      <c r="F69" s="75"/>
      <c r="G69" s="75"/>
      <c r="H69" s="75"/>
      <c r="I69" s="75"/>
      <c r="J69" s="75"/>
      <c r="K69" s="79"/>
      <c r="L69" s="79"/>
    </row>
    <row r="70" spans="1:12" ht="15.75">
      <c r="A70" s="78"/>
      <c r="B70" s="76"/>
      <c r="C70" s="76"/>
      <c r="D70" s="75"/>
      <c r="E70" s="75"/>
      <c r="F70" s="75"/>
      <c r="G70" s="75"/>
      <c r="H70" s="75"/>
      <c r="I70" s="75"/>
      <c r="J70" s="75"/>
      <c r="K70" s="79"/>
      <c r="L70" s="79"/>
    </row>
    <row r="71" spans="1:12" ht="15.75">
      <c r="A71" s="78"/>
      <c r="B71" s="76"/>
      <c r="C71" s="76"/>
      <c r="D71" s="75"/>
      <c r="E71" s="75"/>
      <c r="F71" s="75"/>
      <c r="G71" s="75"/>
      <c r="H71" s="75"/>
      <c r="I71" s="75"/>
      <c r="J71" s="75"/>
      <c r="K71" s="79"/>
      <c r="L71" s="79"/>
    </row>
    <row r="72" spans="1:12" ht="15.75">
      <c r="A72" s="78"/>
      <c r="B72" s="76"/>
      <c r="C72" s="76"/>
      <c r="D72" s="75"/>
      <c r="E72" s="75"/>
      <c r="F72" s="75"/>
      <c r="G72" s="75"/>
      <c r="H72" s="75"/>
      <c r="I72" s="75"/>
      <c r="J72" s="75"/>
      <c r="K72" s="79"/>
      <c r="L72" s="79"/>
    </row>
    <row r="73" spans="1:12" ht="15.75">
      <c r="A73" s="78"/>
      <c r="B73" s="76"/>
      <c r="C73" s="76"/>
      <c r="D73" s="75"/>
      <c r="E73" s="75"/>
      <c r="F73" s="75"/>
      <c r="G73" s="75"/>
      <c r="H73" s="75"/>
      <c r="I73" s="75"/>
      <c r="J73" s="75"/>
      <c r="K73" s="79"/>
      <c r="L73" s="79"/>
    </row>
    <row r="74" spans="1:12" ht="15.75">
      <c r="A74" s="78"/>
      <c r="B74" s="76"/>
      <c r="C74" s="76"/>
      <c r="D74" s="75"/>
      <c r="E74" s="75"/>
      <c r="F74" s="75"/>
      <c r="G74" s="75"/>
      <c r="H74" s="75"/>
      <c r="I74" s="75"/>
      <c r="J74" s="75"/>
      <c r="K74" s="79"/>
      <c r="L74" s="79"/>
    </row>
    <row r="75" spans="1:12" ht="15.75">
      <c r="A75" s="78"/>
      <c r="B75" s="76"/>
      <c r="C75" s="76"/>
      <c r="D75" s="75"/>
      <c r="E75" s="75"/>
      <c r="F75" s="75"/>
      <c r="G75" s="75"/>
      <c r="H75" s="75"/>
      <c r="I75" s="75"/>
      <c r="J75" s="75"/>
      <c r="K75" s="79"/>
      <c r="L75" s="79"/>
    </row>
    <row r="76" spans="1:12" ht="15.75">
      <c r="A76" s="78"/>
      <c r="B76" s="76"/>
      <c r="C76" s="76"/>
      <c r="D76" s="75"/>
      <c r="E76" s="75"/>
      <c r="F76" s="75"/>
      <c r="G76" s="75"/>
      <c r="H76" s="75"/>
      <c r="I76" s="75"/>
      <c r="J76" s="75"/>
      <c r="K76" s="79"/>
      <c r="L76" s="79"/>
    </row>
    <row r="77" spans="1:12" ht="15.75">
      <c r="A77" s="78"/>
      <c r="B77" s="76"/>
      <c r="C77" s="76"/>
      <c r="D77" s="75"/>
      <c r="E77" s="75"/>
      <c r="F77" s="75"/>
      <c r="G77" s="75"/>
      <c r="H77" s="75"/>
      <c r="I77" s="75"/>
      <c r="J77" s="75"/>
      <c r="K77" s="79"/>
      <c r="L77" s="79"/>
    </row>
    <row r="78" spans="1:12" ht="15.75">
      <c r="A78" s="78"/>
      <c r="B78" s="76"/>
      <c r="C78" s="76"/>
      <c r="D78" s="75"/>
      <c r="E78" s="75"/>
      <c r="F78" s="75"/>
      <c r="G78" s="75"/>
      <c r="H78" s="75"/>
      <c r="I78" s="75"/>
      <c r="J78" s="75"/>
      <c r="K78" s="79"/>
      <c r="L78" s="79"/>
    </row>
    <row r="79" spans="1:12" ht="15.75">
      <c r="A79" s="78"/>
      <c r="B79" s="76"/>
      <c r="C79" s="76"/>
      <c r="D79" s="75"/>
      <c r="E79" s="75"/>
      <c r="F79" s="75"/>
      <c r="G79" s="75"/>
      <c r="H79" s="75"/>
      <c r="I79" s="75"/>
      <c r="J79" s="75"/>
      <c r="K79" s="79"/>
      <c r="L79" s="79"/>
    </row>
    <row r="80" spans="1:12" ht="15.75">
      <c r="A80" s="78"/>
      <c r="B80" s="76"/>
      <c r="C80" s="76"/>
      <c r="D80" s="75"/>
      <c r="E80" s="75"/>
      <c r="F80" s="75"/>
      <c r="G80" s="75"/>
      <c r="H80" s="75"/>
      <c r="I80" s="75"/>
      <c r="J80" s="75"/>
      <c r="K80" s="79"/>
      <c r="L80" s="79"/>
    </row>
    <row r="81" spans="1:12" ht="15.75">
      <c r="A81" s="78"/>
      <c r="B81" s="76"/>
      <c r="C81" s="76"/>
      <c r="D81" s="75"/>
      <c r="E81" s="75"/>
      <c r="F81" s="75"/>
      <c r="G81" s="75"/>
      <c r="H81" s="75"/>
      <c r="I81" s="75"/>
      <c r="J81" s="75"/>
      <c r="K81" s="79"/>
      <c r="L81" s="79"/>
    </row>
    <row r="82" spans="1:12" ht="15.75">
      <c r="A82" s="78"/>
      <c r="B82" s="76"/>
      <c r="C82" s="76"/>
      <c r="D82" s="75"/>
      <c r="E82" s="75"/>
      <c r="F82" s="75"/>
      <c r="G82" s="75"/>
      <c r="H82" s="75"/>
      <c r="I82" s="75"/>
      <c r="J82" s="75"/>
      <c r="K82" s="79"/>
      <c r="L82" s="79"/>
    </row>
    <row r="83" spans="1:12" ht="15.75">
      <c r="A83" s="78"/>
      <c r="B83" s="76"/>
      <c r="C83" s="76"/>
      <c r="D83" s="75"/>
      <c r="E83" s="75"/>
      <c r="F83" s="75"/>
      <c r="G83" s="75"/>
      <c r="H83" s="75"/>
      <c r="I83" s="75"/>
      <c r="J83" s="75"/>
      <c r="K83" s="79"/>
      <c r="L83" s="79"/>
    </row>
    <row r="84" spans="1:12" ht="15.75">
      <c r="A84" s="78"/>
      <c r="B84" s="76"/>
      <c r="C84" s="76"/>
      <c r="D84" s="75"/>
      <c r="E84" s="75"/>
      <c r="F84" s="75"/>
      <c r="G84" s="75"/>
      <c r="H84" s="75"/>
      <c r="I84" s="75"/>
      <c r="J84" s="75"/>
      <c r="K84" s="79"/>
      <c r="L84" s="79"/>
    </row>
    <row r="85" spans="1:12" ht="15.75">
      <c r="A85" s="78"/>
      <c r="B85" s="76"/>
      <c r="C85" s="76"/>
      <c r="D85" s="75"/>
      <c r="E85" s="75"/>
      <c r="F85" s="75"/>
      <c r="G85" s="75"/>
      <c r="H85" s="75"/>
      <c r="I85" s="75"/>
      <c r="J85" s="75"/>
      <c r="K85" s="79"/>
      <c r="L85" s="79"/>
    </row>
    <row r="86" spans="1:12" ht="15.75">
      <c r="A86" s="78"/>
      <c r="B86" s="76"/>
      <c r="C86" s="76"/>
      <c r="D86" s="75"/>
      <c r="E86" s="75"/>
      <c r="F86" s="75"/>
      <c r="G86" s="75"/>
      <c r="H86" s="75"/>
      <c r="I86" s="75"/>
      <c r="J86" s="75"/>
      <c r="K86" s="79"/>
      <c r="L86" s="79"/>
    </row>
    <row r="87" spans="1:12" ht="15.75">
      <c r="A87" s="78"/>
      <c r="B87" s="76"/>
      <c r="C87" s="76"/>
      <c r="D87" s="75"/>
      <c r="E87" s="75"/>
      <c r="F87" s="75"/>
      <c r="G87" s="75"/>
      <c r="H87" s="75"/>
      <c r="I87" s="75"/>
      <c r="J87" s="75"/>
      <c r="K87" s="79"/>
      <c r="L87" s="79"/>
    </row>
    <row r="88" spans="1:12" ht="15.75">
      <c r="A88" s="78"/>
      <c r="B88" s="76"/>
      <c r="C88" s="76"/>
      <c r="D88" s="75"/>
      <c r="E88" s="75"/>
      <c r="F88" s="75"/>
      <c r="G88" s="75"/>
      <c r="H88" s="75"/>
      <c r="I88" s="75"/>
      <c r="J88" s="75"/>
      <c r="K88" s="79"/>
      <c r="L88" s="79"/>
    </row>
    <row r="89" spans="1:12" ht="15.75">
      <c r="A89" s="78"/>
      <c r="B89" s="76"/>
      <c r="C89" s="76"/>
      <c r="D89" s="75"/>
      <c r="E89" s="75"/>
      <c r="F89" s="75"/>
      <c r="G89" s="75"/>
      <c r="H89" s="75"/>
      <c r="I89" s="75"/>
      <c r="J89" s="75"/>
      <c r="K89" s="79"/>
      <c r="L89" s="79"/>
    </row>
    <row r="90" spans="1:12" ht="15.75">
      <c r="A90" s="78"/>
      <c r="B90" s="76"/>
      <c r="C90" s="76"/>
      <c r="D90" s="75"/>
      <c r="E90" s="75"/>
      <c r="F90" s="75"/>
      <c r="G90" s="75"/>
      <c r="H90" s="75"/>
      <c r="I90" s="75"/>
      <c r="J90" s="75"/>
      <c r="K90" s="79"/>
      <c r="L90" s="79"/>
    </row>
    <row r="91" spans="1:12" ht="15.75">
      <c r="A91" s="78"/>
      <c r="B91" s="76"/>
      <c r="C91" s="76"/>
      <c r="D91" s="75"/>
      <c r="E91" s="75"/>
      <c r="F91" s="75"/>
      <c r="G91" s="75"/>
      <c r="H91" s="75"/>
      <c r="I91" s="75"/>
      <c r="J91" s="75"/>
      <c r="K91" s="79"/>
      <c r="L91" s="79"/>
    </row>
    <row r="92" spans="1:12" ht="15.75">
      <c r="A92" s="78"/>
      <c r="B92" s="76"/>
      <c r="C92" s="76"/>
      <c r="D92" s="75"/>
      <c r="E92" s="75"/>
      <c r="F92" s="75"/>
      <c r="G92" s="75"/>
      <c r="H92" s="75"/>
      <c r="I92" s="75"/>
      <c r="J92" s="75"/>
      <c r="K92" s="79"/>
      <c r="L92" s="79"/>
    </row>
    <row r="93" spans="1:12" ht="15.75">
      <c r="A93" s="78"/>
      <c r="B93" s="76"/>
      <c r="C93" s="76"/>
      <c r="D93" s="75"/>
      <c r="E93" s="75"/>
      <c r="F93" s="75"/>
      <c r="G93" s="75"/>
      <c r="H93" s="75"/>
      <c r="I93" s="75"/>
      <c r="J93" s="75"/>
      <c r="K93" s="79"/>
      <c r="L93" s="79"/>
    </row>
    <row r="94" spans="1:12" ht="15.75">
      <c r="A94" s="78"/>
      <c r="B94" s="76"/>
      <c r="C94" s="76"/>
      <c r="D94" s="75"/>
      <c r="E94" s="75"/>
      <c r="F94" s="75"/>
      <c r="G94" s="75"/>
      <c r="H94" s="75"/>
      <c r="I94" s="75"/>
      <c r="J94" s="75"/>
      <c r="K94" s="79"/>
      <c r="L94" s="79"/>
    </row>
    <row r="95" spans="1:12" ht="15.75">
      <c r="A95" s="78"/>
      <c r="B95" s="76"/>
      <c r="C95" s="76"/>
      <c r="D95" s="75"/>
      <c r="E95" s="75"/>
      <c r="F95" s="75"/>
      <c r="G95" s="75"/>
      <c r="H95" s="75"/>
      <c r="I95" s="75"/>
      <c r="J95" s="75"/>
      <c r="K95" s="79"/>
      <c r="L95" s="79"/>
    </row>
    <row r="96" spans="1:12" ht="15.75">
      <c r="A96" s="78"/>
      <c r="B96" s="76"/>
      <c r="C96" s="76"/>
      <c r="D96" s="75"/>
      <c r="E96" s="75"/>
      <c r="F96" s="75"/>
      <c r="G96" s="75"/>
      <c r="H96" s="75"/>
      <c r="I96" s="75"/>
      <c r="J96" s="75"/>
      <c r="K96" s="79"/>
      <c r="L96" s="79"/>
    </row>
    <row r="97" spans="1:12" ht="15.75">
      <c r="A97" s="78"/>
      <c r="B97" s="76"/>
      <c r="C97" s="76"/>
      <c r="D97" s="75"/>
      <c r="E97" s="75"/>
      <c r="F97" s="75"/>
      <c r="G97" s="75"/>
      <c r="H97" s="75"/>
      <c r="I97" s="75"/>
      <c r="J97" s="75"/>
      <c r="K97" s="79"/>
      <c r="L97" s="79"/>
    </row>
    <row r="98" spans="1:12" ht="15.75">
      <c r="A98" s="78"/>
      <c r="B98" s="76"/>
      <c r="C98" s="76"/>
      <c r="D98" s="75"/>
      <c r="E98" s="75"/>
      <c r="F98" s="75"/>
      <c r="G98" s="75"/>
      <c r="H98" s="75"/>
      <c r="I98" s="75"/>
      <c r="J98" s="75"/>
      <c r="K98" s="79"/>
      <c r="L98" s="79"/>
    </row>
    <row r="99" spans="1:12" ht="15.75">
      <c r="A99" s="78"/>
      <c r="B99" s="76"/>
      <c r="C99" s="76"/>
      <c r="D99" s="75"/>
      <c r="E99" s="75"/>
      <c r="F99" s="75"/>
      <c r="G99" s="75"/>
      <c r="H99" s="75"/>
      <c r="I99" s="75"/>
      <c r="J99" s="75"/>
      <c r="K99" s="79"/>
      <c r="L99" s="79"/>
    </row>
    <row r="100" spans="1:12" ht="15.75">
      <c r="A100" s="78"/>
      <c r="B100" s="76"/>
      <c r="C100" s="76"/>
      <c r="D100" s="75"/>
      <c r="E100" s="75"/>
      <c r="F100" s="75"/>
      <c r="G100" s="75"/>
      <c r="H100" s="75"/>
      <c r="I100" s="75"/>
      <c r="J100" s="75"/>
      <c r="K100" s="79"/>
      <c r="L100" s="79"/>
    </row>
    <row r="101" spans="1:12" ht="15.75">
      <c r="A101" s="78"/>
      <c r="B101" s="76"/>
      <c r="C101" s="76"/>
      <c r="D101" s="75"/>
      <c r="E101" s="75"/>
      <c r="F101" s="75"/>
      <c r="G101" s="75"/>
      <c r="H101" s="75"/>
      <c r="I101" s="75"/>
      <c r="J101" s="75"/>
      <c r="K101" s="79"/>
      <c r="L101" s="79"/>
    </row>
    <row r="102" spans="1:12" ht="15.75">
      <c r="A102" s="78"/>
      <c r="B102" s="76"/>
      <c r="C102" s="76"/>
      <c r="D102" s="75"/>
      <c r="E102" s="75"/>
      <c r="F102" s="75"/>
      <c r="G102" s="75"/>
      <c r="H102" s="75"/>
      <c r="I102" s="75"/>
      <c r="J102" s="75"/>
      <c r="K102" s="79"/>
      <c r="L102" s="79"/>
    </row>
    <row r="103" spans="1:12" ht="15.75">
      <c r="A103" s="78"/>
      <c r="B103" s="76"/>
      <c r="C103" s="76"/>
      <c r="D103" s="75"/>
      <c r="E103" s="75"/>
      <c r="F103" s="75"/>
      <c r="G103" s="75"/>
      <c r="H103" s="75"/>
      <c r="I103" s="75"/>
      <c r="J103" s="75"/>
      <c r="K103" s="79"/>
      <c r="L103" s="79"/>
    </row>
    <row r="104" spans="1:12" ht="15.75">
      <c r="A104" s="78"/>
      <c r="B104" s="76"/>
      <c r="C104" s="76"/>
      <c r="D104" s="75"/>
      <c r="E104" s="75"/>
      <c r="F104" s="75"/>
      <c r="G104" s="75"/>
      <c r="H104" s="75"/>
      <c r="I104" s="75"/>
      <c r="J104" s="75"/>
      <c r="K104" s="79"/>
      <c r="L104" s="79"/>
    </row>
    <row r="105" spans="1:12" ht="15.75">
      <c r="A105" s="78"/>
      <c r="B105" s="76"/>
      <c r="C105" s="76"/>
      <c r="D105" s="75"/>
      <c r="E105" s="75"/>
      <c r="F105" s="75"/>
      <c r="G105" s="75"/>
      <c r="H105" s="75"/>
      <c r="I105" s="75"/>
      <c r="J105" s="75"/>
      <c r="K105" s="79"/>
      <c r="L105" s="79"/>
    </row>
    <row r="106" spans="1:12" ht="15.75">
      <c r="A106" s="78"/>
      <c r="B106" s="76"/>
      <c r="C106" s="76"/>
      <c r="D106" s="75"/>
      <c r="E106" s="75"/>
      <c r="F106" s="75"/>
      <c r="G106" s="75"/>
      <c r="H106" s="75"/>
      <c r="I106" s="75"/>
      <c r="J106" s="75"/>
      <c r="K106" s="79"/>
      <c r="L106" s="79"/>
    </row>
    <row r="107" spans="1:12" ht="15.75">
      <c r="A107" s="78"/>
      <c r="B107" s="76"/>
      <c r="C107" s="76"/>
      <c r="D107" s="75"/>
      <c r="E107" s="75"/>
      <c r="F107" s="75"/>
      <c r="G107" s="75"/>
      <c r="H107" s="75"/>
      <c r="I107" s="75"/>
      <c r="J107" s="75"/>
      <c r="K107" s="79"/>
      <c r="L107" s="79"/>
    </row>
    <row r="108" spans="1:12" ht="15.75">
      <c r="A108" s="78"/>
      <c r="B108" s="76"/>
      <c r="C108" s="76"/>
      <c r="D108" s="75"/>
      <c r="E108" s="75"/>
      <c r="F108" s="75"/>
      <c r="G108" s="75"/>
      <c r="H108" s="75"/>
      <c r="I108" s="75"/>
      <c r="J108" s="75"/>
      <c r="K108" s="79"/>
      <c r="L108" s="79"/>
    </row>
    <row r="109" spans="1:12" ht="15.75">
      <c r="A109" s="78"/>
      <c r="B109" s="76"/>
      <c r="C109" s="76"/>
      <c r="D109" s="75"/>
      <c r="E109" s="75"/>
      <c r="F109" s="75"/>
      <c r="G109" s="75"/>
      <c r="H109" s="75"/>
      <c r="I109" s="75"/>
      <c r="J109" s="75"/>
      <c r="K109" s="79"/>
      <c r="L109" s="79"/>
    </row>
    <row r="110" spans="1:12" ht="15.75">
      <c r="A110" s="78"/>
      <c r="B110" s="76"/>
      <c r="C110" s="76"/>
      <c r="D110" s="75"/>
      <c r="E110" s="75"/>
      <c r="F110" s="75"/>
      <c r="G110" s="75"/>
      <c r="H110" s="75"/>
      <c r="I110" s="75"/>
      <c r="J110" s="75"/>
      <c r="K110" s="79"/>
      <c r="L110" s="79"/>
    </row>
    <row r="111" spans="1:12" ht="15.75">
      <c r="A111" s="78"/>
      <c r="B111" s="76"/>
      <c r="C111" s="76"/>
      <c r="D111" s="75"/>
      <c r="E111" s="75"/>
      <c r="F111" s="75"/>
      <c r="G111" s="75"/>
      <c r="H111" s="75"/>
      <c r="I111" s="75"/>
      <c r="J111" s="75"/>
      <c r="K111" s="79"/>
      <c r="L111" s="79"/>
    </row>
    <row r="112" spans="1:12" ht="15.75">
      <c r="A112" s="78"/>
      <c r="B112" s="76"/>
      <c r="C112" s="76"/>
      <c r="D112" s="75"/>
      <c r="E112" s="75"/>
      <c r="F112" s="75"/>
      <c r="G112" s="75"/>
      <c r="H112" s="75"/>
      <c r="I112" s="75"/>
      <c r="J112" s="75"/>
      <c r="K112" s="79"/>
      <c r="L112" s="79"/>
    </row>
    <row r="113" spans="1:12" ht="15.75">
      <c r="A113" s="78"/>
      <c r="B113" s="76"/>
      <c r="C113" s="76"/>
      <c r="D113" s="75"/>
      <c r="E113" s="75"/>
      <c r="F113" s="75"/>
      <c r="G113" s="75"/>
      <c r="H113" s="75"/>
      <c r="I113" s="75"/>
      <c r="J113" s="75"/>
      <c r="K113" s="79"/>
      <c r="L113" s="79"/>
    </row>
    <row r="114" spans="1:12" ht="15.75">
      <c r="A114" s="78"/>
      <c r="B114" s="76"/>
      <c r="C114" s="76"/>
      <c r="D114" s="75"/>
      <c r="E114" s="75"/>
      <c r="F114" s="75"/>
      <c r="G114" s="75"/>
      <c r="H114" s="75"/>
      <c r="I114" s="75"/>
      <c r="J114" s="75"/>
      <c r="K114" s="79"/>
      <c r="L114" s="79"/>
    </row>
    <row r="115" spans="1:12" ht="15.75">
      <c r="A115" s="78"/>
      <c r="B115" s="76"/>
      <c r="C115" s="76"/>
      <c r="D115" s="75"/>
      <c r="E115" s="75"/>
      <c r="F115" s="75"/>
      <c r="G115" s="75"/>
      <c r="H115" s="75"/>
      <c r="I115" s="75"/>
      <c r="J115" s="75"/>
      <c r="K115" s="79"/>
      <c r="L115" s="79"/>
    </row>
    <row r="116" spans="1:12" ht="15.75">
      <c r="A116" s="78"/>
      <c r="B116" s="76"/>
      <c r="C116" s="76"/>
      <c r="D116" s="75"/>
      <c r="E116" s="75"/>
      <c r="F116" s="75"/>
      <c r="G116" s="75"/>
      <c r="H116" s="75"/>
      <c r="I116" s="75"/>
      <c r="J116" s="75"/>
      <c r="K116" s="79"/>
      <c r="L116" s="79"/>
    </row>
    <row r="117" spans="1:12" ht="15.75">
      <c r="A117" s="78"/>
      <c r="B117" s="76"/>
      <c r="C117" s="76"/>
      <c r="D117" s="75"/>
      <c r="E117" s="75"/>
      <c r="F117" s="75"/>
      <c r="G117" s="75"/>
      <c r="H117" s="75"/>
      <c r="I117" s="75"/>
      <c r="J117" s="75"/>
      <c r="K117" s="79"/>
      <c r="L117" s="79"/>
    </row>
    <row r="118" spans="1:12" ht="15.75">
      <c r="A118" s="78"/>
      <c r="B118" s="76"/>
      <c r="C118" s="76"/>
      <c r="D118" s="75"/>
      <c r="E118" s="75"/>
      <c r="F118" s="75"/>
      <c r="G118" s="75"/>
      <c r="H118" s="75"/>
      <c r="I118" s="75"/>
      <c r="J118" s="75"/>
      <c r="K118" s="79"/>
      <c r="L118" s="79"/>
    </row>
    <row r="119" spans="1:12" ht="15.75">
      <c r="A119" s="78"/>
      <c r="B119" s="76"/>
      <c r="C119" s="76"/>
      <c r="D119" s="75"/>
      <c r="E119" s="75"/>
      <c r="F119" s="75"/>
      <c r="G119" s="75"/>
      <c r="H119" s="75"/>
      <c r="I119" s="75"/>
      <c r="J119" s="75"/>
      <c r="K119" s="79"/>
      <c r="L119" s="79"/>
    </row>
    <row r="120" spans="1:12" ht="15.75">
      <c r="A120" s="78"/>
      <c r="B120" s="76"/>
      <c r="C120" s="76"/>
      <c r="D120" s="75"/>
      <c r="E120" s="75"/>
      <c r="F120" s="75"/>
      <c r="G120" s="75"/>
      <c r="H120" s="75"/>
      <c r="I120" s="75"/>
      <c r="J120" s="75"/>
      <c r="K120" s="79"/>
      <c r="L120" s="79"/>
    </row>
    <row r="121" spans="1:12" ht="15.75">
      <c r="A121" s="78"/>
      <c r="B121" s="76"/>
      <c r="C121" s="76"/>
      <c r="D121" s="75"/>
      <c r="E121" s="75"/>
      <c r="F121" s="75"/>
      <c r="G121" s="75"/>
      <c r="H121" s="75"/>
      <c r="I121" s="75"/>
      <c r="J121" s="75"/>
      <c r="K121" s="79"/>
      <c r="L121" s="79"/>
    </row>
    <row r="122" spans="1:12" ht="15.75">
      <c r="A122" s="78"/>
      <c r="B122" s="76"/>
      <c r="C122" s="76"/>
      <c r="D122" s="75"/>
      <c r="E122" s="75"/>
      <c r="F122" s="75"/>
      <c r="G122" s="75"/>
      <c r="H122" s="75"/>
      <c r="I122" s="75"/>
      <c r="J122" s="75"/>
      <c r="K122" s="79"/>
      <c r="L122" s="79"/>
    </row>
    <row r="123" spans="1:12" ht="15.75">
      <c r="A123" s="78"/>
      <c r="B123" s="76"/>
      <c r="C123" s="76"/>
      <c r="D123" s="75"/>
      <c r="E123" s="75"/>
      <c r="F123" s="75"/>
      <c r="G123" s="75"/>
      <c r="H123" s="75"/>
      <c r="I123" s="75"/>
      <c r="J123" s="75"/>
      <c r="K123" s="79"/>
      <c r="L123" s="79"/>
    </row>
    <row r="124" spans="1:12" ht="15.75">
      <c r="A124" s="78"/>
      <c r="B124" s="76"/>
      <c r="C124" s="76"/>
      <c r="D124" s="75"/>
      <c r="E124" s="75"/>
      <c r="F124" s="75"/>
      <c r="G124" s="75"/>
      <c r="H124" s="75"/>
      <c r="I124" s="75"/>
      <c r="J124" s="75"/>
      <c r="K124" s="79"/>
      <c r="L124" s="79"/>
    </row>
    <row r="125" spans="1:12" ht="15.75">
      <c r="A125" s="78"/>
      <c r="B125" s="76"/>
      <c r="C125" s="76"/>
      <c r="D125" s="75"/>
      <c r="E125" s="75"/>
      <c r="F125" s="75"/>
      <c r="G125" s="75"/>
      <c r="H125" s="75"/>
      <c r="I125" s="75"/>
      <c r="J125" s="75"/>
      <c r="K125" s="79"/>
      <c r="L125" s="79"/>
    </row>
    <row r="126" spans="1:12" ht="15.75">
      <c r="A126" s="78"/>
      <c r="B126" s="76"/>
      <c r="C126" s="76"/>
      <c r="D126" s="75"/>
      <c r="E126" s="75"/>
      <c r="F126" s="75"/>
      <c r="G126" s="75"/>
      <c r="H126" s="75"/>
      <c r="I126" s="75"/>
      <c r="J126" s="75"/>
      <c r="K126" s="79"/>
      <c r="L126" s="79"/>
    </row>
    <row r="127" spans="1:12" ht="15.75">
      <c r="A127" s="78"/>
      <c r="B127" s="76"/>
      <c r="C127" s="76"/>
      <c r="D127" s="75"/>
      <c r="E127" s="75"/>
      <c r="F127" s="75"/>
      <c r="G127" s="75"/>
      <c r="H127" s="75"/>
      <c r="I127" s="75"/>
      <c r="J127" s="75"/>
      <c r="K127" s="79"/>
      <c r="L127" s="79"/>
    </row>
    <row r="128" spans="1:12" ht="15.75">
      <c r="A128" s="78"/>
      <c r="B128" s="76"/>
      <c r="C128" s="76"/>
      <c r="D128" s="75"/>
      <c r="E128" s="75"/>
      <c r="F128" s="75"/>
      <c r="G128" s="75"/>
      <c r="H128" s="75"/>
      <c r="I128" s="75"/>
      <c r="J128" s="75"/>
      <c r="K128" s="79"/>
      <c r="L128" s="79"/>
    </row>
    <row r="129" spans="1:12" ht="15.75">
      <c r="A129" s="78"/>
      <c r="B129" s="76"/>
      <c r="C129" s="76"/>
      <c r="D129" s="75"/>
      <c r="E129" s="75"/>
      <c r="F129" s="75"/>
      <c r="G129" s="75"/>
      <c r="H129" s="75"/>
      <c r="I129" s="75"/>
      <c r="J129" s="75"/>
      <c r="K129" s="79"/>
      <c r="L129" s="79"/>
    </row>
    <row r="130" spans="1:12" ht="15.75">
      <c r="A130" s="78"/>
      <c r="B130" s="76"/>
      <c r="C130" s="76"/>
      <c r="D130" s="75"/>
      <c r="E130" s="75"/>
      <c r="F130" s="75"/>
      <c r="G130" s="75"/>
      <c r="H130" s="75"/>
      <c r="I130" s="75"/>
      <c r="J130" s="75"/>
      <c r="K130" s="79"/>
      <c r="L130" s="79"/>
    </row>
    <row r="131" spans="1:12" ht="15.75">
      <c r="A131" s="78"/>
      <c r="B131" s="76"/>
      <c r="C131" s="76"/>
      <c r="D131" s="75"/>
      <c r="E131" s="75"/>
      <c r="F131" s="75"/>
      <c r="G131" s="75"/>
      <c r="H131" s="75"/>
      <c r="I131" s="75"/>
      <c r="J131" s="75"/>
      <c r="K131" s="79"/>
      <c r="L131" s="79"/>
    </row>
    <row r="132" spans="1:12" ht="15.75">
      <c r="A132" s="78"/>
      <c r="B132" s="76"/>
      <c r="C132" s="76"/>
      <c r="D132" s="75"/>
      <c r="E132" s="75"/>
      <c r="F132" s="75"/>
      <c r="G132" s="75"/>
      <c r="H132" s="75"/>
      <c r="I132" s="75"/>
      <c r="J132" s="75"/>
      <c r="K132" s="79"/>
      <c r="L132" s="79"/>
    </row>
    <row r="133" spans="1:12" ht="15.75">
      <c r="A133" s="78"/>
      <c r="B133" s="76"/>
      <c r="C133" s="76"/>
      <c r="D133" s="75"/>
      <c r="E133" s="75"/>
      <c r="F133" s="75"/>
      <c r="G133" s="75"/>
      <c r="H133" s="75"/>
      <c r="I133" s="75"/>
      <c r="J133" s="75"/>
      <c r="K133" s="79"/>
      <c r="L133" s="79"/>
    </row>
    <row r="134" spans="1:12" ht="15.75">
      <c r="A134" s="78"/>
      <c r="B134" s="76"/>
      <c r="C134" s="76"/>
      <c r="D134" s="75"/>
      <c r="E134" s="75"/>
      <c r="F134" s="75"/>
      <c r="G134" s="75"/>
      <c r="H134" s="75"/>
      <c r="I134" s="75"/>
      <c r="J134" s="75"/>
      <c r="K134" s="79"/>
      <c r="L134" s="79"/>
    </row>
    <row r="135" spans="1:12" ht="15.75">
      <c r="A135" s="78"/>
      <c r="B135" s="76"/>
      <c r="C135" s="76"/>
      <c r="D135" s="75"/>
      <c r="E135" s="75"/>
      <c r="F135" s="75"/>
      <c r="G135" s="75"/>
      <c r="H135" s="75"/>
      <c r="I135" s="75"/>
      <c r="J135" s="75"/>
      <c r="K135" s="79"/>
      <c r="L135" s="79"/>
    </row>
    <row r="136" spans="1:12" ht="15.75">
      <c r="A136" s="78"/>
      <c r="B136" s="76"/>
      <c r="C136" s="76"/>
      <c r="D136" s="75"/>
      <c r="E136" s="75"/>
      <c r="F136" s="75"/>
      <c r="G136" s="75"/>
      <c r="H136" s="75"/>
      <c r="I136" s="75"/>
      <c r="J136" s="75"/>
      <c r="K136" s="79"/>
      <c r="L136" s="79"/>
    </row>
    <row r="137" spans="1:12" ht="15.75">
      <c r="A137" s="78"/>
      <c r="B137" s="76"/>
      <c r="C137" s="76"/>
      <c r="D137" s="75"/>
      <c r="E137" s="75"/>
      <c r="F137" s="75"/>
      <c r="G137" s="75"/>
      <c r="H137" s="75"/>
      <c r="I137" s="75"/>
      <c r="J137" s="75"/>
      <c r="K137" s="79"/>
      <c r="L137" s="79"/>
    </row>
    <row r="138" spans="1:12" ht="15.75">
      <c r="A138" s="78"/>
      <c r="B138" s="76"/>
      <c r="C138" s="76"/>
      <c r="D138" s="75"/>
      <c r="E138" s="75"/>
      <c r="F138" s="75"/>
      <c r="G138" s="75"/>
      <c r="H138" s="75"/>
      <c r="I138" s="75"/>
      <c r="J138" s="75"/>
      <c r="K138" s="79"/>
      <c r="L138" s="79"/>
    </row>
    <row r="139" spans="1:12" ht="15.75">
      <c r="A139" s="78"/>
      <c r="B139" s="76"/>
      <c r="C139" s="76"/>
      <c r="D139" s="75"/>
      <c r="E139" s="75"/>
      <c r="F139" s="75"/>
      <c r="G139" s="75"/>
      <c r="H139" s="75"/>
      <c r="I139" s="75"/>
      <c r="J139" s="75"/>
      <c r="K139" s="79"/>
      <c r="L139" s="79"/>
    </row>
    <row r="140" spans="1:12" ht="15.75">
      <c r="A140" s="78"/>
      <c r="B140" s="76"/>
      <c r="C140" s="76"/>
      <c r="D140" s="75"/>
      <c r="E140" s="75"/>
      <c r="F140" s="75"/>
      <c r="G140" s="75"/>
      <c r="H140" s="75"/>
      <c r="I140" s="75"/>
      <c r="J140" s="75"/>
      <c r="K140" s="79"/>
      <c r="L140" s="79"/>
    </row>
    <row r="141" spans="1:12" ht="15.75">
      <c r="A141" s="78"/>
      <c r="B141" s="76"/>
      <c r="C141" s="76"/>
      <c r="D141" s="75"/>
      <c r="E141" s="75"/>
      <c r="F141" s="75"/>
      <c r="G141" s="75"/>
      <c r="H141" s="75"/>
      <c r="I141" s="75"/>
      <c r="J141" s="75"/>
      <c r="K141" s="79"/>
      <c r="L141" s="79"/>
    </row>
    <row r="142" spans="1:12" ht="15.75">
      <c r="A142" s="78"/>
      <c r="B142" s="76"/>
      <c r="C142" s="76"/>
      <c r="D142" s="75"/>
      <c r="E142" s="75"/>
      <c r="F142" s="75"/>
      <c r="G142" s="75"/>
      <c r="H142" s="75"/>
      <c r="I142" s="75"/>
      <c r="J142" s="75"/>
      <c r="K142" s="79"/>
      <c r="L142" s="79"/>
    </row>
    <row r="143" spans="1:12" ht="15.75">
      <c r="A143" s="78"/>
      <c r="B143" s="76"/>
      <c r="C143" s="76"/>
      <c r="D143" s="75"/>
      <c r="E143" s="75"/>
      <c r="F143" s="75"/>
      <c r="G143" s="75"/>
      <c r="H143" s="75"/>
      <c r="I143" s="75"/>
      <c r="J143" s="75"/>
      <c r="K143" s="79"/>
      <c r="L143" s="79"/>
    </row>
    <row r="144" spans="1:12" ht="15.75">
      <c r="A144" s="78"/>
      <c r="B144" s="76"/>
      <c r="C144" s="76"/>
      <c r="D144" s="75"/>
      <c r="E144" s="75"/>
      <c r="F144" s="75"/>
      <c r="G144" s="75"/>
      <c r="H144" s="75"/>
      <c r="I144" s="75"/>
      <c r="J144" s="75"/>
      <c r="K144" s="79"/>
      <c r="L144" s="79"/>
    </row>
    <row r="145" spans="1:12" ht="15.75">
      <c r="A145" s="78"/>
      <c r="B145" s="76"/>
      <c r="C145" s="76"/>
      <c r="D145" s="75"/>
      <c r="E145" s="75"/>
      <c r="F145" s="75"/>
      <c r="G145" s="75"/>
      <c r="H145" s="75"/>
      <c r="I145" s="75"/>
      <c r="J145" s="75"/>
      <c r="K145" s="79"/>
      <c r="L145" s="79"/>
    </row>
    <row r="146" spans="1:12" ht="15.75">
      <c r="A146" s="78"/>
      <c r="B146" s="76"/>
      <c r="C146" s="76"/>
      <c r="D146" s="75"/>
      <c r="E146" s="75"/>
      <c r="F146" s="75"/>
      <c r="G146" s="75"/>
      <c r="H146" s="75"/>
      <c r="I146" s="75"/>
      <c r="J146" s="75"/>
      <c r="K146" s="79"/>
      <c r="L146" s="79"/>
    </row>
    <row r="147" spans="1:12" ht="15.75">
      <c r="A147" s="78"/>
      <c r="B147" s="76"/>
      <c r="C147" s="76"/>
      <c r="D147" s="75"/>
      <c r="E147" s="75"/>
      <c r="F147" s="75"/>
      <c r="G147" s="75"/>
      <c r="H147" s="75"/>
      <c r="I147" s="75"/>
      <c r="J147" s="75"/>
      <c r="K147" s="79"/>
      <c r="L147" s="79"/>
    </row>
    <row r="148" spans="1:12" ht="15.75">
      <c r="A148" s="78"/>
      <c r="B148" s="76"/>
      <c r="C148" s="76"/>
      <c r="D148" s="75"/>
      <c r="E148" s="75"/>
      <c r="F148" s="75"/>
      <c r="G148" s="75"/>
      <c r="H148" s="75"/>
      <c r="I148" s="75"/>
      <c r="J148" s="75"/>
      <c r="K148" s="79"/>
      <c r="L148" s="79"/>
    </row>
    <row r="149" spans="1:12" ht="15.75">
      <c r="A149" s="78"/>
      <c r="B149" s="76"/>
      <c r="C149" s="76"/>
      <c r="D149" s="75"/>
      <c r="E149" s="75"/>
      <c r="F149" s="75"/>
      <c r="G149" s="75"/>
      <c r="H149" s="75"/>
      <c r="I149" s="75"/>
      <c r="J149" s="75"/>
      <c r="K149" s="79"/>
      <c r="L149" s="79"/>
    </row>
    <row r="150" spans="1:12" ht="15.75">
      <c r="A150" s="78"/>
      <c r="B150" s="76"/>
      <c r="C150" s="76"/>
      <c r="D150" s="75"/>
      <c r="E150" s="75"/>
      <c r="F150" s="75"/>
      <c r="G150" s="75"/>
      <c r="H150" s="75"/>
      <c r="I150" s="75"/>
      <c r="J150" s="75"/>
      <c r="K150" s="79"/>
      <c r="L150" s="79"/>
    </row>
    <row r="151" spans="1:12" ht="15.75">
      <c r="A151" s="78"/>
      <c r="B151" s="76"/>
      <c r="C151" s="76"/>
      <c r="D151" s="75"/>
      <c r="E151" s="75"/>
      <c r="F151" s="75"/>
      <c r="G151" s="75"/>
      <c r="H151" s="75"/>
      <c r="I151" s="75"/>
      <c r="J151" s="75"/>
      <c r="K151" s="79"/>
      <c r="L151" s="79"/>
    </row>
    <row r="152" spans="1:12" ht="15.75">
      <c r="A152" s="78"/>
      <c r="B152" s="76"/>
      <c r="C152" s="76"/>
      <c r="D152" s="75"/>
      <c r="E152" s="75"/>
      <c r="F152" s="75"/>
      <c r="G152" s="75"/>
      <c r="H152" s="75"/>
      <c r="I152" s="75"/>
      <c r="J152" s="75"/>
      <c r="K152" s="79"/>
      <c r="L152" s="79"/>
    </row>
    <row r="153" spans="1:12" ht="15.75">
      <c r="A153" s="78"/>
      <c r="B153" s="76"/>
      <c r="C153" s="76"/>
      <c r="D153" s="75"/>
      <c r="E153" s="75"/>
      <c r="F153" s="75"/>
      <c r="G153" s="75"/>
      <c r="H153" s="75"/>
      <c r="I153" s="75"/>
      <c r="J153" s="75"/>
      <c r="K153" s="79"/>
      <c r="L153" s="79"/>
    </row>
    <row r="154" spans="1:12" ht="15.75">
      <c r="A154" s="78"/>
      <c r="B154" s="76"/>
      <c r="C154" s="76"/>
      <c r="D154" s="75"/>
      <c r="E154" s="75"/>
      <c r="F154" s="75"/>
      <c r="G154" s="75"/>
      <c r="H154" s="75"/>
      <c r="I154" s="75"/>
      <c r="J154" s="75"/>
      <c r="K154" s="79"/>
      <c r="L154" s="79"/>
    </row>
    <row r="155" spans="1:12" ht="15.75">
      <c r="A155" s="78"/>
      <c r="B155" s="76"/>
      <c r="C155" s="76"/>
      <c r="D155" s="75"/>
      <c r="E155" s="75"/>
      <c r="F155" s="75"/>
      <c r="G155" s="75"/>
      <c r="H155" s="75"/>
      <c r="I155" s="75"/>
      <c r="J155" s="75"/>
      <c r="K155" s="79"/>
      <c r="L155" s="79"/>
    </row>
    <row r="156" spans="1:12" ht="15.75">
      <c r="A156" s="78"/>
      <c r="B156" s="76"/>
      <c r="C156" s="76"/>
      <c r="D156" s="75"/>
      <c r="E156" s="75"/>
      <c r="F156" s="75"/>
      <c r="G156" s="75"/>
      <c r="H156" s="75"/>
      <c r="I156" s="75"/>
      <c r="J156" s="75"/>
      <c r="K156" s="79"/>
      <c r="L156" s="79"/>
    </row>
    <row r="157" spans="1:12" ht="15.75">
      <c r="A157" s="78"/>
      <c r="B157" s="76"/>
      <c r="C157" s="76"/>
      <c r="D157" s="75"/>
      <c r="E157" s="75"/>
      <c r="F157" s="75"/>
      <c r="G157" s="75"/>
      <c r="H157" s="75"/>
      <c r="I157" s="75"/>
      <c r="J157" s="75"/>
      <c r="K157" s="79"/>
      <c r="L157" s="79"/>
    </row>
    <row r="158" spans="1:12" ht="15.75">
      <c r="A158" s="78"/>
      <c r="B158" s="76"/>
      <c r="C158" s="76"/>
      <c r="D158" s="75"/>
      <c r="E158" s="75"/>
      <c r="F158" s="75"/>
      <c r="G158" s="75"/>
      <c r="H158" s="75"/>
      <c r="I158" s="75"/>
      <c r="J158" s="75"/>
      <c r="K158" s="79"/>
      <c r="L158" s="79"/>
    </row>
    <row r="159" spans="1:12" ht="15.75">
      <c r="A159" s="78"/>
      <c r="B159" s="76"/>
      <c r="C159" s="76"/>
      <c r="D159" s="75"/>
      <c r="E159" s="75"/>
      <c r="F159" s="75"/>
      <c r="G159" s="75"/>
      <c r="H159" s="75"/>
      <c r="I159" s="75"/>
      <c r="J159" s="75"/>
      <c r="K159" s="79"/>
      <c r="L159" s="79"/>
    </row>
    <row r="160" spans="1:12" ht="15.75">
      <c r="A160" s="78"/>
      <c r="B160" s="76"/>
      <c r="C160" s="76"/>
      <c r="D160" s="75"/>
      <c r="E160" s="75"/>
      <c r="F160" s="75"/>
      <c r="G160" s="75"/>
      <c r="H160" s="75"/>
      <c r="I160" s="75"/>
      <c r="J160" s="75"/>
      <c r="K160" s="79"/>
      <c r="L160" s="79"/>
    </row>
    <row r="161" spans="1:12" ht="15.75">
      <c r="A161" s="78"/>
      <c r="B161" s="76"/>
      <c r="C161" s="76"/>
      <c r="D161" s="75"/>
      <c r="E161" s="75"/>
      <c r="F161" s="75"/>
      <c r="G161" s="75"/>
      <c r="H161" s="75"/>
      <c r="I161" s="75"/>
      <c r="J161" s="75"/>
      <c r="K161" s="79"/>
      <c r="L161" s="79"/>
    </row>
    <row r="162" spans="1:12" ht="15.75">
      <c r="A162" s="78"/>
      <c r="B162" s="76"/>
      <c r="C162" s="76"/>
      <c r="D162" s="75"/>
      <c r="E162" s="75"/>
      <c r="F162" s="75"/>
      <c r="G162" s="75"/>
      <c r="H162" s="75"/>
      <c r="I162" s="75"/>
      <c r="J162" s="75"/>
      <c r="K162" s="79"/>
      <c r="L162" s="79"/>
    </row>
    <row r="163" spans="1:12" ht="15.75">
      <c r="A163" s="78"/>
      <c r="B163" s="76"/>
      <c r="C163" s="76"/>
      <c r="D163" s="75"/>
      <c r="E163" s="75"/>
      <c r="F163" s="75"/>
      <c r="G163" s="75"/>
      <c r="H163" s="75"/>
      <c r="I163" s="75"/>
      <c r="J163" s="75"/>
      <c r="K163" s="79"/>
      <c r="L163" s="79"/>
    </row>
    <row r="164" spans="1:12" ht="15.75">
      <c r="A164" s="78"/>
      <c r="B164" s="76"/>
      <c r="C164" s="76"/>
      <c r="D164" s="75"/>
      <c r="E164" s="75"/>
      <c r="F164" s="75"/>
      <c r="G164" s="75"/>
      <c r="H164" s="75"/>
      <c r="I164" s="75"/>
      <c r="J164" s="75"/>
      <c r="K164" s="79"/>
      <c r="L164" s="79"/>
    </row>
    <row r="165" spans="1:12" ht="15.75">
      <c r="A165" s="78"/>
      <c r="B165" s="76"/>
      <c r="C165" s="76"/>
      <c r="D165" s="75"/>
      <c r="E165" s="75"/>
      <c r="F165" s="75"/>
      <c r="G165" s="75"/>
      <c r="H165" s="75"/>
      <c r="I165" s="75"/>
      <c r="J165" s="75"/>
      <c r="K165" s="79"/>
      <c r="L165" s="79"/>
    </row>
    <row r="166" spans="1:12" ht="15.75">
      <c r="A166" s="78"/>
      <c r="B166" s="76"/>
      <c r="C166" s="76"/>
      <c r="D166" s="75"/>
      <c r="E166" s="75"/>
      <c r="F166" s="75"/>
      <c r="G166" s="75"/>
      <c r="H166" s="75"/>
      <c r="I166" s="75"/>
      <c r="J166" s="75"/>
      <c r="K166" s="79"/>
      <c r="L166" s="79"/>
    </row>
    <row r="167" spans="1:12" ht="15.75">
      <c r="A167" s="78"/>
      <c r="B167" s="76"/>
      <c r="C167" s="76"/>
      <c r="D167" s="75"/>
      <c r="E167" s="75"/>
      <c r="F167" s="75"/>
      <c r="G167" s="75"/>
      <c r="H167" s="75"/>
      <c r="I167" s="75"/>
      <c r="J167" s="75"/>
      <c r="K167" s="79"/>
      <c r="L167" s="79"/>
    </row>
    <row r="168" spans="1:12" ht="15.75">
      <c r="A168" s="78"/>
      <c r="B168" s="76"/>
      <c r="C168" s="76"/>
      <c r="D168" s="75"/>
      <c r="E168" s="75"/>
      <c r="F168" s="75"/>
      <c r="G168" s="75"/>
      <c r="H168" s="75"/>
      <c r="I168" s="75"/>
      <c r="J168" s="75"/>
      <c r="K168" s="79"/>
      <c r="L168" s="79"/>
    </row>
    <row r="169" spans="1:12" ht="15.75">
      <c r="A169" s="78"/>
      <c r="B169" s="76"/>
      <c r="C169" s="76"/>
      <c r="D169" s="75"/>
      <c r="E169" s="75"/>
      <c r="F169" s="75"/>
      <c r="G169" s="75"/>
      <c r="H169" s="75"/>
      <c r="I169" s="75"/>
      <c r="J169" s="75"/>
      <c r="K169" s="79"/>
      <c r="L169" s="79"/>
    </row>
    <row r="170" spans="1:12" ht="15.75">
      <c r="A170" s="78"/>
      <c r="B170" s="76"/>
      <c r="C170" s="76"/>
      <c r="D170" s="75"/>
      <c r="E170" s="75"/>
      <c r="F170" s="75"/>
      <c r="G170" s="75"/>
      <c r="H170" s="75"/>
      <c r="I170" s="75"/>
      <c r="J170" s="75"/>
      <c r="K170" s="79"/>
      <c r="L170" s="79"/>
    </row>
    <row r="171" spans="1:12" ht="15.75">
      <c r="A171" s="78"/>
      <c r="B171" s="76"/>
      <c r="C171" s="76"/>
      <c r="D171" s="75"/>
      <c r="E171" s="75"/>
      <c r="F171" s="75"/>
      <c r="G171" s="75"/>
      <c r="H171" s="75"/>
      <c r="I171" s="75"/>
      <c r="J171" s="75"/>
      <c r="K171" s="79"/>
      <c r="L171" s="79"/>
    </row>
    <row r="172" spans="1:12" ht="15.75">
      <c r="A172" s="78"/>
      <c r="B172" s="76"/>
      <c r="C172" s="76"/>
      <c r="D172" s="75"/>
      <c r="E172" s="75"/>
      <c r="F172" s="75"/>
      <c r="G172" s="75"/>
      <c r="H172" s="75"/>
      <c r="I172" s="75"/>
      <c r="J172" s="75"/>
      <c r="K172" s="79"/>
      <c r="L172" s="79"/>
    </row>
    <row r="173" spans="1:12" ht="15.75">
      <c r="A173" s="78"/>
      <c r="B173" s="76"/>
      <c r="C173" s="76"/>
      <c r="D173" s="75"/>
      <c r="E173" s="75"/>
      <c r="F173" s="75"/>
      <c r="G173" s="75"/>
      <c r="H173" s="75"/>
      <c r="I173" s="75"/>
      <c r="J173" s="75"/>
      <c r="K173" s="79"/>
      <c r="L173" s="79"/>
    </row>
    <row r="174" spans="1:12" ht="15.75">
      <c r="A174" s="78"/>
      <c r="B174" s="76"/>
      <c r="C174" s="76"/>
      <c r="D174" s="75"/>
      <c r="E174" s="75"/>
      <c r="F174" s="75"/>
      <c r="G174" s="75"/>
      <c r="H174" s="75"/>
      <c r="I174" s="75"/>
      <c r="J174" s="75"/>
      <c r="K174" s="79"/>
      <c r="L174" s="79"/>
    </row>
    <row r="175" spans="1:12" ht="15.75">
      <c r="A175" s="78"/>
      <c r="B175" s="76"/>
      <c r="C175" s="76"/>
      <c r="D175" s="75"/>
      <c r="E175" s="75"/>
      <c r="F175" s="75"/>
      <c r="G175" s="75"/>
      <c r="H175" s="75"/>
      <c r="I175" s="75"/>
      <c r="J175" s="75"/>
      <c r="K175" s="79"/>
      <c r="L175" s="79"/>
    </row>
    <row r="176" spans="1:12" ht="15.75">
      <c r="A176" s="78"/>
      <c r="B176" s="76"/>
      <c r="C176" s="76"/>
      <c r="D176" s="75"/>
      <c r="E176" s="75"/>
      <c r="F176" s="75"/>
      <c r="G176" s="75"/>
      <c r="H176" s="75"/>
      <c r="I176" s="75"/>
      <c r="J176" s="75"/>
      <c r="K176" s="79"/>
      <c r="L176" s="79"/>
    </row>
    <row r="177" spans="1:12" ht="15.75">
      <c r="A177" s="78"/>
      <c r="B177" s="76"/>
      <c r="C177" s="76"/>
      <c r="D177" s="75"/>
      <c r="E177" s="75"/>
      <c r="F177" s="75"/>
      <c r="G177" s="75"/>
      <c r="H177" s="75"/>
      <c r="I177" s="75"/>
      <c r="J177" s="75"/>
      <c r="K177" s="79"/>
      <c r="L177" s="79"/>
    </row>
    <row r="178" spans="1:12" ht="15.75">
      <c r="A178" s="78"/>
      <c r="B178" s="76"/>
      <c r="C178" s="76"/>
      <c r="D178" s="75"/>
      <c r="E178" s="75"/>
      <c r="F178" s="75"/>
      <c r="G178" s="75"/>
      <c r="H178" s="75"/>
      <c r="I178" s="75"/>
      <c r="J178" s="75"/>
      <c r="K178" s="79"/>
      <c r="L178" s="79"/>
    </row>
    <row r="179" spans="1:12" ht="15.75">
      <c r="A179" s="78"/>
      <c r="B179" s="76"/>
      <c r="C179" s="76"/>
      <c r="D179" s="75"/>
      <c r="E179" s="75"/>
      <c r="F179" s="75"/>
      <c r="G179" s="75"/>
      <c r="H179" s="75"/>
      <c r="I179" s="75"/>
      <c r="J179" s="75"/>
      <c r="K179" s="79"/>
      <c r="L179" s="79"/>
    </row>
    <row r="180" spans="1:12" ht="15.75">
      <c r="A180" s="78"/>
      <c r="B180" s="76"/>
      <c r="C180" s="76"/>
      <c r="D180" s="75"/>
      <c r="E180" s="75"/>
      <c r="F180" s="75"/>
      <c r="G180" s="75"/>
      <c r="H180" s="75"/>
      <c r="I180" s="75"/>
      <c r="J180" s="75"/>
      <c r="K180" s="79"/>
      <c r="L180" s="79"/>
    </row>
    <row r="181" spans="1:12" ht="15.75">
      <c r="A181" s="78"/>
      <c r="B181" s="76"/>
      <c r="C181" s="76"/>
      <c r="D181" s="75"/>
      <c r="E181" s="75"/>
      <c r="F181" s="75"/>
      <c r="G181" s="75"/>
      <c r="H181" s="75"/>
      <c r="I181" s="75"/>
      <c r="J181" s="75"/>
      <c r="K181" s="79"/>
      <c r="L181" s="79"/>
    </row>
    <row r="182" spans="1:12" ht="15.75">
      <c r="A182" s="78"/>
      <c r="B182" s="76"/>
      <c r="C182" s="76"/>
      <c r="D182" s="75"/>
      <c r="E182" s="75"/>
      <c r="F182" s="75"/>
      <c r="G182" s="75"/>
      <c r="H182" s="75"/>
      <c r="I182" s="75"/>
      <c r="J182" s="75"/>
      <c r="K182" s="79"/>
      <c r="L182" s="79"/>
    </row>
    <row r="183" spans="1:12" ht="15.75">
      <c r="A183" s="78"/>
      <c r="B183" s="76"/>
      <c r="C183" s="76"/>
      <c r="D183" s="75"/>
      <c r="E183" s="75"/>
      <c r="F183" s="75"/>
      <c r="G183" s="75"/>
      <c r="H183" s="75"/>
      <c r="I183" s="75"/>
      <c r="J183" s="75"/>
      <c r="K183" s="79"/>
      <c r="L183" s="79"/>
    </row>
    <row r="184" spans="1:12" ht="15.75">
      <c r="A184" s="78"/>
      <c r="B184" s="76"/>
      <c r="C184" s="76"/>
      <c r="D184" s="75"/>
      <c r="E184" s="75"/>
      <c r="F184" s="75"/>
      <c r="G184" s="75"/>
      <c r="H184" s="75"/>
      <c r="I184" s="75"/>
      <c r="J184" s="75"/>
      <c r="K184" s="79"/>
      <c r="L184" s="79"/>
    </row>
    <row r="185" spans="1:12" ht="15.75">
      <c r="A185" s="78"/>
      <c r="B185" s="76"/>
      <c r="C185" s="76"/>
      <c r="D185" s="75"/>
      <c r="E185" s="75"/>
      <c r="F185" s="75"/>
      <c r="G185" s="75"/>
      <c r="H185" s="75"/>
      <c r="I185" s="75"/>
      <c r="J185" s="75"/>
      <c r="K185" s="79"/>
      <c r="L185" s="79"/>
    </row>
    <row r="186" spans="1:12" ht="15.75">
      <c r="A186" s="78"/>
      <c r="B186" s="76"/>
      <c r="C186" s="76"/>
      <c r="D186" s="75"/>
      <c r="E186" s="75"/>
      <c r="F186" s="75"/>
      <c r="G186" s="75"/>
      <c r="H186" s="75"/>
      <c r="I186" s="75"/>
      <c r="J186" s="75"/>
      <c r="K186" s="79"/>
      <c r="L186" s="79"/>
    </row>
    <row r="187" spans="1:12" ht="15.75">
      <c r="A187" s="78"/>
      <c r="B187" s="76"/>
      <c r="C187" s="76"/>
      <c r="D187" s="75"/>
      <c r="E187" s="75"/>
      <c r="F187" s="75"/>
      <c r="G187" s="75"/>
      <c r="H187" s="75"/>
      <c r="I187" s="75"/>
      <c r="J187" s="75"/>
      <c r="K187" s="79"/>
      <c r="L187" s="79"/>
    </row>
    <row r="188" spans="1:12" ht="15.75">
      <c r="A188" s="78"/>
      <c r="B188" s="76"/>
      <c r="C188" s="76"/>
      <c r="D188" s="75"/>
      <c r="E188" s="75"/>
      <c r="F188" s="75"/>
      <c r="G188" s="75"/>
      <c r="H188" s="75"/>
      <c r="I188" s="75"/>
      <c r="J188" s="75"/>
      <c r="K188" s="79"/>
      <c r="L188" s="79"/>
    </row>
    <row r="189" spans="1:12" ht="15.75">
      <c r="A189" s="78"/>
      <c r="B189" s="76"/>
      <c r="C189" s="76"/>
      <c r="D189" s="75"/>
      <c r="E189" s="75"/>
      <c r="F189" s="75"/>
      <c r="G189" s="75"/>
      <c r="H189" s="75"/>
      <c r="I189" s="75"/>
      <c r="J189" s="75"/>
      <c r="K189" s="79"/>
      <c r="L189" s="79"/>
    </row>
    <row r="190" spans="1:12" ht="15.75">
      <c r="A190" s="78"/>
      <c r="B190" s="76"/>
      <c r="C190" s="76"/>
      <c r="D190" s="75"/>
      <c r="E190" s="75"/>
      <c r="F190" s="75"/>
      <c r="G190" s="75"/>
      <c r="H190" s="75"/>
      <c r="I190" s="75"/>
      <c r="J190" s="75"/>
      <c r="K190" s="79"/>
      <c r="L190" s="79"/>
    </row>
    <row r="191" spans="1:12" ht="15.75">
      <c r="A191" s="78"/>
      <c r="B191" s="76"/>
      <c r="C191" s="76"/>
      <c r="D191" s="75"/>
      <c r="E191" s="75"/>
      <c r="F191" s="75"/>
      <c r="G191" s="75"/>
      <c r="H191" s="75"/>
      <c r="I191" s="75"/>
      <c r="J191" s="75"/>
      <c r="K191" s="79"/>
      <c r="L191" s="79"/>
    </row>
    <row r="192" spans="1:12" ht="15.75">
      <c r="A192" s="78"/>
      <c r="B192" s="76"/>
      <c r="C192" s="76"/>
      <c r="D192" s="75"/>
      <c r="E192" s="75"/>
      <c r="F192" s="75"/>
      <c r="G192" s="75"/>
      <c r="H192" s="75"/>
      <c r="I192" s="75"/>
      <c r="J192" s="75"/>
      <c r="K192" s="79"/>
      <c r="L192" s="79"/>
    </row>
    <row r="193" spans="1:12" ht="15.75">
      <c r="A193" s="78"/>
      <c r="B193" s="76"/>
      <c r="C193" s="76"/>
      <c r="D193" s="75"/>
      <c r="E193" s="75"/>
      <c r="F193" s="75"/>
      <c r="G193" s="75"/>
      <c r="H193" s="75"/>
      <c r="I193" s="75"/>
      <c r="J193" s="75"/>
      <c r="K193" s="79"/>
      <c r="L193" s="79"/>
    </row>
    <row r="194" spans="1:12" ht="15.75">
      <c r="A194" s="78"/>
      <c r="B194" s="76"/>
      <c r="C194" s="76"/>
      <c r="D194" s="75"/>
      <c r="E194" s="75"/>
      <c r="F194" s="75"/>
      <c r="G194" s="75"/>
      <c r="H194" s="75"/>
      <c r="I194" s="75"/>
      <c r="J194" s="75"/>
      <c r="K194" s="79"/>
      <c r="L194" s="79"/>
    </row>
    <row r="195" spans="1:12" ht="15.75">
      <c r="A195" s="78"/>
      <c r="B195" s="76"/>
      <c r="C195" s="76"/>
      <c r="D195" s="75"/>
      <c r="E195" s="75"/>
      <c r="F195" s="75"/>
      <c r="G195" s="75"/>
      <c r="H195" s="75"/>
      <c r="I195" s="75"/>
      <c r="J195" s="75"/>
      <c r="K195" s="79"/>
      <c r="L195" s="79"/>
    </row>
    <row r="196" spans="1:12" ht="15.75">
      <c r="A196" s="78"/>
      <c r="B196" s="76"/>
      <c r="C196" s="76"/>
      <c r="D196" s="75"/>
      <c r="E196" s="75"/>
      <c r="F196" s="75"/>
      <c r="G196" s="75"/>
      <c r="H196" s="75"/>
      <c r="I196" s="75"/>
      <c r="J196" s="75"/>
      <c r="K196" s="79"/>
      <c r="L196" s="79"/>
    </row>
    <row r="197" spans="1:12" ht="15.75">
      <c r="A197" s="78"/>
      <c r="B197" s="76"/>
      <c r="C197" s="76"/>
      <c r="D197" s="75"/>
      <c r="E197" s="75"/>
      <c r="F197" s="75"/>
      <c r="G197" s="75"/>
      <c r="H197" s="75"/>
      <c r="I197" s="75"/>
      <c r="J197" s="75"/>
      <c r="K197" s="79"/>
      <c r="L197" s="79"/>
    </row>
    <row r="198" spans="1:12" ht="15.75">
      <c r="A198" s="78"/>
      <c r="B198" s="76"/>
      <c r="C198" s="76"/>
      <c r="D198" s="75"/>
      <c r="E198" s="75"/>
      <c r="F198" s="75"/>
      <c r="G198" s="75"/>
      <c r="H198" s="75"/>
      <c r="I198" s="75"/>
      <c r="J198" s="75"/>
      <c r="K198" s="79"/>
      <c r="L198" s="79"/>
    </row>
    <row r="199" spans="1:12" ht="15.75">
      <c r="A199" s="78"/>
      <c r="B199" s="76"/>
      <c r="C199" s="76"/>
      <c r="D199" s="75"/>
      <c r="E199" s="75"/>
      <c r="F199" s="75"/>
      <c r="G199" s="75"/>
      <c r="H199" s="75"/>
      <c r="I199" s="75"/>
      <c r="J199" s="75"/>
      <c r="K199" s="79"/>
      <c r="L199" s="79"/>
    </row>
    <row r="200" spans="1:12" ht="15.75">
      <c r="A200" s="78"/>
      <c r="B200" s="76"/>
      <c r="C200" s="76"/>
      <c r="D200" s="75"/>
      <c r="E200" s="75"/>
      <c r="F200" s="75"/>
      <c r="G200" s="75"/>
      <c r="H200" s="75"/>
      <c r="I200" s="75"/>
      <c r="J200" s="75"/>
      <c r="K200" s="79"/>
      <c r="L200" s="79"/>
    </row>
    <row r="201" spans="1:12" ht="15.75">
      <c r="A201" s="78"/>
      <c r="B201" s="76"/>
      <c r="C201" s="76"/>
      <c r="D201" s="75"/>
      <c r="E201" s="75"/>
      <c r="F201" s="75"/>
      <c r="G201" s="75"/>
      <c r="H201" s="75"/>
      <c r="I201" s="75"/>
      <c r="J201" s="75"/>
      <c r="K201" s="79"/>
      <c r="L201" s="79"/>
    </row>
    <row r="202" spans="1:12" ht="15.75">
      <c r="A202" s="78"/>
      <c r="B202" s="76"/>
      <c r="C202" s="76"/>
      <c r="D202" s="75"/>
      <c r="E202" s="75"/>
      <c r="F202" s="75"/>
      <c r="G202" s="75"/>
      <c r="H202" s="75"/>
      <c r="I202" s="75"/>
      <c r="J202" s="75"/>
      <c r="K202" s="79"/>
      <c r="L202" s="79"/>
    </row>
    <row r="203" spans="1:12" ht="15.75">
      <c r="A203" s="78"/>
      <c r="B203" s="76"/>
      <c r="C203" s="76"/>
      <c r="D203" s="75"/>
      <c r="E203" s="75"/>
      <c r="F203" s="75"/>
      <c r="G203" s="75"/>
      <c r="H203" s="75"/>
      <c r="I203" s="75"/>
      <c r="J203" s="75"/>
      <c r="K203" s="79"/>
      <c r="L203" s="79"/>
    </row>
    <row r="204" spans="1:12" ht="15.75">
      <c r="A204" s="78"/>
      <c r="B204" s="76"/>
      <c r="C204" s="76"/>
      <c r="D204" s="75"/>
      <c r="E204" s="75"/>
      <c r="F204" s="75"/>
      <c r="G204" s="75"/>
      <c r="H204" s="75"/>
      <c r="I204" s="75"/>
      <c r="J204" s="75"/>
      <c r="K204" s="79"/>
      <c r="L204" s="79"/>
    </row>
    <row r="205" spans="1:12" ht="15.75">
      <c r="A205" s="78"/>
      <c r="B205" s="76"/>
      <c r="C205" s="76"/>
      <c r="D205" s="75"/>
      <c r="E205" s="75"/>
      <c r="F205" s="75"/>
      <c r="G205" s="75"/>
      <c r="H205" s="75"/>
      <c r="I205" s="75"/>
      <c r="J205" s="75"/>
      <c r="K205" s="79"/>
      <c r="L205" s="79"/>
    </row>
    <row r="206" spans="1:12" ht="15.75">
      <c r="A206" s="78"/>
      <c r="B206" s="76"/>
      <c r="C206" s="76"/>
      <c r="D206" s="75"/>
      <c r="E206" s="75"/>
      <c r="F206" s="75"/>
      <c r="G206" s="75"/>
      <c r="H206" s="75"/>
      <c r="I206" s="75"/>
      <c r="J206" s="75"/>
      <c r="K206" s="79"/>
      <c r="L206" s="79"/>
    </row>
    <row r="207" spans="1:12" ht="15.75">
      <c r="A207" s="78"/>
      <c r="B207" s="76"/>
      <c r="C207" s="76"/>
      <c r="D207" s="75"/>
      <c r="E207" s="75"/>
      <c r="F207" s="75"/>
      <c r="G207" s="75"/>
      <c r="H207" s="75"/>
      <c r="I207" s="75"/>
      <c r="J207" s="75"/>
      <c r="K207" s="79"/>
      <c r="L207" s="79"/>
    </row>
    <row r="208" spans="1:12" ht="15.75">
      <c r="A208" s="78"/>
      <c r="B208" s="76"/>
      <c r="C208" s="76"/>
      <c r="D208" s="75"/>
      <c r="E208" s="75"/>
      <c r="F208" s="75"/>
      <c r="G208" s="75"/>
      <c r="H208" s="75"/>
      <c r="I208" s="75"/>
      <c r="J208" s="75"/>
      <c r="K208" s="79"/>
      <c r="L208" s="79"/>
    </row>
    <row r="209" spans="1:12" ht="15.75">
      <c r="A209" s="78"/>
      <c r="B209" s="76"/>
      <c r="C209" s="76"/>
      <c r="D209" s="75"/>
      <c r="E209" s="75"/>
      <c r="F209" s="75"/>
      <c r="G209" s="75"/>
      <c r="H209" s="75"/>
      <c r="I209" s="75"/>
      <c r="J209" s="75"/>
      <c r="K209" s="79"/>
      <c r="L209" s="79"/>
    </row>
    <row r="210" spans="1:12" ht="15.75">
      <c r="A210" s="78"/>
      <c r="B210" s="76"/>
      <c r="C210" s="76"/>
      <c r="D210" s="75"/>
      <c r="E210" s="75"/>
      <c r="F210" s="75"/>
      <c r="G210" s="75"/>
      <c r="H210" s="75"/>
      <c r="I210" s="75"/>
      <c r="J210" s="75"/>
      <c r="K210" s="79"/>
      <c r="L210" s="79"/>
    </row>
    <row r="211" spans="1:12" ht="15.75">
      <c r="A211" s="78"/>
      <c r="B211" s="76"/>
      <c r="C211" s="76"/>
      <c r="D211" s="75"/>
      <c r="E211" s="75"/>
      <c r="F211" s="75"/>
      <c r="G211" s="75"/>
      <c r="H211" s="75"/>
      <c r="I211" s="75"/>
      <c r="J211" s="75"/>
      <c r="K211" s="79"/>
      <c r="L211" s="79"/>
    </row>
    <row r="212" spans="1:12" ht="15.75">
      <c r="A212" s="78"/>
      <c r="B212" s="76"/>
      <c r="C212" s="76"/>
      <c r="D212" s="75"/>
      <c r="E212" s="75"/>
      <c r="F212" s="75"/>
      <c r="G212" s="75"/>
      <c r="H212" s="75"/>
      <c r="I212" s="75"/>
      <c r="J212" s="75"/>
      <c r="K212" s="79"/>
      <c r="L212" s="79"/>
    </row>
    <row r="213" spans="1:12" ht="15.75">
      <c r="A213" s="78"/>
      <c r="B213" s="76"/>
      <c r="C213" s="76"/>
      <c r="D213" s="75"/>
      <c r="E213" s="75"/>
      <c r="F213" s="75"/>
      <c r="G213" s="75"/>
      <c r="H213" s="75"/>
      <c r="I213" s="75"/>
      <c r="J213" s="75"/>
      <c r="K213" s="79"/>
      <c r="L213" s="79"/>
    </row>
    <row r="214" spans="1:12" ht="15.75">
      <c r="A214" s="78"/>
      <c r="B214" s="76"/>
      <c r="C214" s="76"/>
      <c r="D214" s="75"/>
      <c r="E214" s="75"/>
      <c r="F214" s="75"/>
      <c r="G214" s="75"/>
      <c r="H214" s="75"/>
      <c r="I214" s="75"/>
      <c r="J214" s="75"/>
      <c r="K214" s="79"/>
      <c r="L214" s="79"/>
    </row>
    <row r="215" spans="1:12" ht="15.75">
      <c r="A215" s="78"/>
      <c r="B215" s="76"/>
      <c r="C215" s="76"/>
      <c r="D215" s="75"/>
      <c r="E215" s="75"/>
      <c r="F215" s="75"/>
      <c r="G215" s="75"/>
      <c r="H215" s="75"/>
      <c r="I215" s="75"/>
      <c r="J215" s="75"/>
      <c r="K215" s="79"/>
      <c r="L215" s="79"/>
    </row>
    <row r="216" spans="1:12" ht="15.75">
      <c r="A216" s="78"/>
      <c r="B216" s="76"/>
      <c r="C216" s="76"/>
      <c r="D216" s="75"/>
      <c r="E216" s="75"/>
      <c r="F216" s="75"/>
      <c r="G216" s="75"/>
      <c r="H216" s="75"/>
      <c r="I216" s="75"/>
      <c r="J216" s="75"/>
      <c r="K216" s="79"/>
      <c r="L216" s="79"/>
    </row>
    <row r="217" spans="1:12" ht="15.75">
      <c r="A217" s="78"/>
      <c r="B217" s="76"/>
      <c r="C217" s="76"/>
      <c r="D217" s="75"/>
      <c r="E217" s="75"/>
      <c r="F217" s="75"/>
      <c r="G217" s="75"/>
      <c r="H217" s="75"/>
      <c r="I217" s="75"/>
      <c r="J217" s="75"/>
      <c r="K217" s="79"/>
      <c r="L217" s="79"/>
    </row>
    <row r="218" spans="1:12" ht="15.75">
      <c r="A218" s="78"/>
      <c r="B218" s="76"/>
      <c r="C218" s="76"/>
      <c r="D218" s="75"/>
      <c r="E218" s="75"/>
      <c r="F218" s="75"/>
      <c r="G218" s="75"/>
      <c r="H218" s="75"/>
      <c r="I218" s="75"/>
      <c r="J218" s="75"/>
      <c r="K218" s="79"/>
      <c r="L218" s="79"/>
    </row>
    <row r="219" spans="1:12" ht="15.75">
      <c r="A219" s="78"/>
      <c r="B219" s="76"/>
      <c r="C219" s="76"/>
      <c r="D219" s="75"/>
      <c r="E219" s="75"/>
      <c r="F219" s="75"/>
      <c r="G219" s="75"/>
      <c r="H219" s="75"/>
      <c r="I219" s="75"/>
      <c r="J219" s="75"/>
      <c r="K219" s="79"/>
      <c r="L219" s="79"/>
    </row>
    <row r="220" spans="1:12" ht="15.75">
      <c r="A220" s="78"/>
      <c r="B220" s="76"/>
      <c r="C220" s="76"/>
      <c r="D220" s="75"/>
      <c r="E220" s="75"/>
      <c r="F220" s="75"/>
      <c r="G220" s="75"/>
      <c r="H220" s="75"/>
      <c r="I220" s="75"/>
      <c r="J220" s="75"/>
      <c r="K220" s="79"/>
      <c r="L220" s="79"/>
    </row>
    <row r="221" spans="1:12" ht="15.75">
      <c r="A221" s="78"/>
      <c r="B221" s="76"/>
      <c r="C221" s="76"/>
      <c r="D221" s="75"/>
      <c r="E221" s="75"/>
      <c r="F221" s="75"/>
      <c r="G221" s="75"/>
      <c r="H221" s="75"/>
      <c r="I221" s="75"/>
      <c r="J221" s="75"/>
      <c r="K221" s="79"/>
      <c r="L221" s="79"/>
    </row>
    <row r="222" spans="1:12" ht="15.75">
      <c r="A222" s="78"/>
      <c r="B222" s="76"/>
      <c r="C222" s="76"/>
      <c r="D222" s="75"/>
      <c r="E222" s="75"/>
      <c r="F222" s="75"/>
      <c r="G222" s="75"/>
      <c r="H222" s="75"/>
      <c r="I222" s="75"/>
      <c r="J222" s="75"/>
      <c r="K222" s="79"/>
      <c r="L222" s="79"/>
    </row>
    <row r="223" spans="1:12" ht="15.75">
      <c r="A223" s="78"/>
      <c r="B223" s="76"/>
      <c r="C223" s="76"/>
      <c r="D223" s="75"/>
      <c r="E223" s="75"/>
      <c r="F223" s="75"/>
      <c r="G223" s="75"/>
      <c r="H223" s="75"/>
      <c r="I223" s="75"/>
      <c r="J223" s="75"/>
      <c r="K223" s="79"/>
      <c r="L223" s="79"/>
    </row>
    <row r="224" spans="1:12" ht="15.75">
      <c r="A224" s="78"/>
      <c r="B224" s="76"/>
      <c r="C224" s="76"/>
      <c r="D224" s="75"/>
      <c r="E224" s="75"/>
      <c r="F224" s="75"/>
      <c r="G224" s="75"/>
      <c r="H224" s="75"/>
      <c r="I224" s="75"/>
      <c r="J224" s="75"/>
      <c r="K224" s="79"/>
      <c r="L224" s="79"/>
    </row>
    <row r="225" spans="1:12" ht="15.75">
      <c r="A225" s="78"/>
      <c r="B225" s="76"/>
      <c r="C225" s="76"/>
      <c r="D225" s="75"/>
      <c r="E225" s="75"/>
      <c r="F225" s="75"/>
      <c r="G225" s="75"/>
      <c r="H225" s="75"/>
      <c r="I225" s="75"/>
      <c r="J225" s="75"/>
      <c r="K225" s="79"/>
      <c r="L225" s="79"/>
    </row>
    <row r="226" spans="1:12" ht="15.75">
      <c r="A226" s="78"/>
      <c r="B226" s="76"/>
      <c r="C226" s="76"/>
      <c r="D226" s="75"/>
      <c r="E226" s="75"/>
      <c r="F226" s="75"/>
      <c r="G226" s="75"/>
      <c r="H226" s="75"/>
      <c r="I226" s="75"/>
      <c r="J226" s="75"/>
      <c r="K226" s="79"/>
      <c r="L226" s="79"/>
    </row>
    <row r="227" spans="1:12" ht="15.75">
      <c r="A227" s="78"/>
      <c r="B227" s="76"/>
      <c r="C227" s="76"/>
      <c r="D227" s="75"/>
      <c r="E227" s="75"/>
      <c r="F227" s="75"/>
      <c r="G227" s="75"/>
      <c r="H227" s="75"/>
      <c r="I227" s="75"/>
      <c r="J227" s="75"/>
      <c r="K227" s="79"/>
      <c r="L227" s="79"/>
    </row>
    <row r="228" spans="1:12" ht="15.75">
      <c r="A228" s="78"/>
      <c r="B228" s="76"/>
      <c r="C228" s="76"/>
      <c r="D228" s="75"/>
      <c r="E228" s="75"/>
      <c r="F228" s="75"/>
      <c r="G228" s="75"/>
      <c r="H228" s="75"/>
      <c r="I228" s="75"/>
      <c r="J228" s="75"/>
      <c r="K228" s="79"/>
      <c r="L228" s="79"/>
    </row>
    <row r="229" spans="1:12" ht="15.75">
      <c r="A229" s="78"/>
      <c r="B229" s="76"/>
      <c r="C229" s="76"/>
      <c r="D229" s="75"/>
      <c r="E229" s="75"/>
      <c r="F229" s="75"/>
      <c r="G229" s="75"/>
      <c r="H229" s="75"/>
      <c r="I229" s="75"/>
      <c r="J229" s="75"/>
      <c r="K229" s="79"/>
      <c r="L229" s="79"/>
    </row>
    <row r="230" spans="1:12" ht="15.75">
      <c r="A230" s="78"/>
      <c r="B230" s="76"/>
      <c r="C230" s="76"/>
      <c r="D230" s="75"/>
      <c r="E230" s="75"/>
      <c r="F230" s="75"/>
      <c r="G230" s="75"/>
      <c r="H230" s="75"/>
      <c r="I230" s="75"/>
      <c r="J230" s="75"/>
      <c r="K230" s="79"/>
      <c r="L230" s="79"/>
    </row>
    <row r="231" spans="1:12" ht="15.75">
      <c r="A231" s="78"/>
      <c r="B231" s="76"/>
      <c r="C231" s="76"/>
      <c r="D231" s="75"/>
      <c r="E231" s="75"/>
      <c r="F231" s="75"/>
      <c r="G231" s="75"/>
      <c r="H231" s="75"/>
      <c r="I231" s="75"/>
      <c r="J231" s="75"/>
      <c r="K231" s="79"/>
      <c r="L231" s="79"/>
    </row>
    <row r="232" spans="1:12" ht="15.75">
      <c r="A232" s="78"/>
      <c r="B232" s="76"/>
      <c r="C232" s="76"/>
      <c r="D232" s="75"/>
      <c r="E232" s="75"/>
      <c r="F232" s="75"/>
      <c r="G232" s="75"/>
      <c r="H232" s="75"/>
      <c r="I232" s="75"/>
      <c r="J232" s="75"/>
      <c r="K232" s="79"/>
      <c r="L232" s="79"/>
    </row>
    <row r="233" spans="1:12" ht="15.75">
      <c r="A233" s="78"/>
      <c r="B233" s="76"/>
      <c r="C233" s="76"/>
      <c r="D233" s="75"/>
      <c r="E233" s="75"/>
      <c r="F233" s="75"/>
      <c r="G233" s="75"/>
      <c r="H233" s="75"/>
      <c r="I233" s="75"/>
      <c r="J233" s="75"/>
      <c r="K233" s="79"/>
      <c r="L233" s="79"/>
    </row>
    <row r="234" spans="1:12" ht="15.75">
      <c r="A234" s="78"/>
      <c r="B234" s="76"/>
      <c r="C234" s="76"/>
      <c r="D234" s="75"/>
      <c r="E234" s="75"/>
      <c r="F234" s="75"/>
      <c r="G234" s="75"/>
      <c r="H234" s="75"/>
      <c r="I234" s="75"/>
      <c r="J234" s="75"/>
      <c r="K234" s="79"/>
      <c r="L234" s="79"/>
    </row>
    <row r="235" spans="1:12" ht="15.75">
      <c r="A235" s="78"/>
      <c r="B235" s="76"/>
      <c r="C235" s="76"/>
      <c r="D235" s="75"/>
      <c r="E235" s="75"/>
      <c r="F235" s="75"/>
      <c r="G235" s="75"/>
      <c r="H235" s="75"/>
      <c r="I235" s="75"/>
      <c r="J235" s="75"/>
      <c r="K235" s="79"/>
      <c r="L235" s="79"/>
    </row>
    <row r="236" spans="1:12" ht="15.75">
      <c r="A236" s="78"/>
      <c r="B236" s="76"/>
      <c r="C236" s="76"/>
      <c r="D236" s="75"/>
      <c r="E236" s="75"/>
      <c r="F236" s="75"/>
      <c r="G236" s="75"/>
      <c r="H236" s="75"/>
      <c r="I236" s="75"/>
      <c r="J236" s="75"/>
      <c r="K236" s="79"/>
      <c r="L236" s="79"/>
    </row>
    <row r="237" spans="1:12" ht="15.75">
      <c r="A237" s="78"/>
      <c r="B237" s="76"/>
      <c r="C237" s="76"/>
      <c r="D237" s="75"/>
      <c r="E237" s="75"/>
      <c r="F237" s="75"/>
      <c r="G237" s="75"/>
      <c r="H237" s="75"/>
      <c r="I237" s="75"/>
      <c r="J237" s="75"/>
      <c r="K237" s="79"/>
      <c r="L237" s="79"/>
    </row>
    <row r="238" spans="1:12" ht="15.75">
      <c r="A238" s="78"/>
      <c r="B238" s="76"/>
      <c r="C238" s="76"/>
      <c r="D238" s="75"/>
      <c r="E238" s="75"/>
      <c r="F238" s="75"/>
      <c r="G238" s="75"/>
      <c r="H238" s="75"/>
      <c r="I238" s="75"/>
      <c r="J238" s="75"/>
      <c r="K238" s="79"/>
      <c r="L238" s="79"/>
    </row>
    <row r="239" spans="1:12" ht="15.75">
      <c r="A239" s="78"/>
      <c r="B239" s="76"/>
      <c r="C239" s="76"/>
      <c r="D239" s="75"/>
      <c r="E239" s="75"/>
      <c r="F239" s="75"/>
      <c r="G239" s="75"/>
      <c r="H239" s="75"/>
      <c r="I239" s="75"/>
      <c r="J239" s="75"/>
      <c r="K239" s="79"/>
      <c r="L239" s="79"/>
    </row>
    <row r="240" spans="1:12" ht="15.75">
      <c r="A240" s="78"/>
      <c r="B240" s="76"/>
      <c r="C240" s="76"/>
      <c r="D240" s="75"/>
      <c r="E240" s="75"/>
      <c r="F240" s="75"/>
      <c r="G240" s="75"/>
      <c r="H240" s="75"/>
      <c r="I240" s="75"/>
      <c r="J240" s="75"/>
      <c r="K240" s="79"/>
      <c r="L240" s="79"/>
    </row>
    <row r="241" spans="1:12" ht="15.75">
      <c r="A241" s="78"/>
      <c r="B241" s="76"/>
      <c r="C241" s="76"/>
      <c r="D241" s="75"/>
      <c r="E241" s="75"/>
      <c r="F241" s="75"/>
      <c r="G241" s="75"/>
      <c r="H241" s="75"/>
      <c r="I241" s="75"/>
      <c r="J241" s="75"/>
      <c r="K241" s="79"/>
      <c r="L241" s="79"/>
    </row>
    <row r="242" spans="1:12" ht="15.75">
      <c r="A242" s="78"/>
      <c r="B242" s="76"/>
      <c r="C242" s="76"/>
      <c r="D242" s="75"/>
      <c r="E242" s="75"/>
      <c r="F242" s="75"/>
      <c r="G242" s="75"/>
      <c r="H242" s="75"/>
      <c r="I242" s="75"/>
      <c r="J242" s="75"/>
      <c r="K242" s="79"/>
      <c r="L242" s="79"/>
    </row>
    <row r="243" spans="1:12" ht="15.75">
      <c r="A243" s="78"/>
      <c r="B243" s="76"/>
      <c r="C243" s="76"/>
      <c r="D243" s="75"/>
      <c r="E243" s="75"/>
      <c r="F243" s="75"/>
      <c r="G243" s="75"/>
      <c r="H243" s="75"/>
      <c r="I243" s="75"/>
      <c r="J243" s="75"/>
      <c r="K243" s="79"/>
      <c r="L243" s="79"/>
    </row>
    <row r="244" spans="1:12" ht="15.75">
      <c r="A244" s="78"/>
      <c r="B244" s="76"/>
      <c r="C244" s="76"/>
      <c r="D244" s="75"/>
      <c r="E244" s="75"/>
      <c r="F244" s="75"/>
      <c r="G244" s="75"/>
      <c r="H244" s="75"/>
      <c r="I244" s="75"/>
      <c r="J244" s="75"/>
      <c r="K244" s="79"/>
      <c r="L244" s="79"/>
    </row>
    <row r="245" spans="1:12" ht="15.75">
      <c r="A245" s="78"/>
      <c r="B245" s="76"/>
      <c r="C245" s="76"/>
      <c r="D245" s="75"/>
      <c r="E245" s="75"/>
      <c r="F245" s="75"/>
      <c r="G245" s="75"/>
      <c r="H245" s="75"/>
      <c r="I245" s="75"/>
      <c r="J245" s="75"/>
      <c r="K245" s="79"/>
      <c r="L245" s="79"/>
    </row>
    <row r="246" spans="1:12" ht="15.75">
      <c r="A246" s="78"/>
      <c r="B246" s="76"/>
      <c r="C246" s="76"/>
      <c r="D246" s="75"/>
      <c r="E246" s="75"/>
      <c r="F246" s="75"/>
      <c r="G246" s="75"/>
      <c r="H246" s="75"/>
      <c r="I246" s="75"/>
      <c r="J246" s="75"/>
      <c r="K246" s="79"/>
      <c r="L246" s="79"/>
    </row>
    <row r="247" spans="1:12" ht="15.75">
      <c r="A247" s="78"/>
      <c r="B247" s="76"/>
      <c r="C247" s="76"/>
      <c r="D247" s="75"/>
      <c r="E247" s="75"/>
      <c r="F247" s="75"/>
      <c r="G247" s="75"/>
      <c r="H247" s="75"/>
      <c r="I247" s="75"/>
      <c r="J247" s="75"/>
      <c r="K247" s="79"/>
      <c r="L247" s="79"/>
    </row>
    <row r="248" spans="1:12" ht="15.75">
      <c r="A248" s="78"/>
      <c r="B248" s="76"/>
      <c r="C248" s="76"/>
      <c r="D248" s="75"/>
      <c r="E248" s="75"/>
      <c r="F248" s="75"/>
      <c r="G248" s="75"/>
      <c r="H248" s="75"/>
      <c r="I248" s="75"/>
      <c r="J248" s="75"/>
      <c r="K248" s="79"/>
      <c r="L248" s="79"/>
    </row>
    <row r="249" spans="1:12" ht="15.75">
      <c r="A249" s="78"/>
      <c r="B249" s="76"/>
      <c r="C249" s="76"/>
      <c r="D249" s="75"/>
      <c r="E249" s="75"/>
      <c r="F249" s="75"/>
      <c r="G249" s="75"/>
      <c r="H249" s="75"/>
      <c r="I249" s="75"/>
      <c r="J249" s="75"/>
      <c r="K249" s="79"/>
      <c r="L249" s="79"/>
    </row>
    <row r="250" spans="1:12" ht="15.75">
      <c r="A250" s="78"/>
      <c r="B250" s="76"/>
      <c r="C250" s="76"/>
      <c r="D250" s="75"/>
      <c r="E250" s="75"/>
      <c r="F250" s="75"/>
      <c r="G250" s="75"/>
      <c r="H250" s="75"/>
      <c r="I250" s="75"/>
      <c r="J250" s="75"/>
      <c r="K250" s="79"/>
      <c r="L250" s="79"/>
    </row>
    <row r="251" spans="1:12" ht="15.75">
      <c r="A251" s="78"/>
      <c r="B251" s="76"/>
      <c r="C251" s="76"/>
      <c r="D251" s="75"/>
      <c r="E251" s="75"/>
      <c r="F251" s="75"/>
      <c r="G251" s="75"/>
      <c r="H251" s="75"/>
      <c r="I251" s="75"/>
      <c r="J251" s="75"/>
      <c r="K251" s="79"/>
      <c r="L251" s="79"/>
    </row>
    <row r="252" spans="1:12" ht="15.75">
      <c r="A252" s="78"/>
      <c r="B252" s="76"/>
      <c r="C252" s="76"/>
      <c r="D252" s="75"/>
      <c r="E252" s="75"/>
      <c r="F252" s="75"/>
      <c r="G252" s="75"/>
      <c r="H252" s="75"/>
      <c r="I252" s="75"/>
      <c r="J252" s="75"/>
      <c r="K252" s="79"/>
      <c r="L252" s="79"/>
    </row>
    <row r="253" spans="1:12" ht="15.75">
      <c r="A253" s="78"/>
      <c r="B253" s="76"/>
      <c r="C253" s="76"/>
      <c r="D253" s="75"/>
      <c r="E253" s="75"/>
      <c r="F253" s="75"/>
      <c r="G253" s="75"/>
      <c r="H253" s="75"/>
      <c r="I253" s="75"/>
      <c r="J253" s="75"/>
      <c r="K253" s="79"/>
      <c r="L253" s="79"/>
    </row>
    <row r="254" spans="1:12" ht="15.75">
      <c r="A254" s="78"/>
      <c r="B254" s="76"/>
      <c r="C254" s="76"/>
      <c r="D254" s="75"/>
      <c r="E254" s="75"/>
      <c r="F254" s="75"/>
      <c r="G254" s="75"/>
      <c r="H254" s="75"/>
      <c r="I254" s="75"/>
      <c r="J254" s="75"/>
      <c r="K254" s="79"/>
      <c r="L254" s="79"/>
    </row>
    <row r="255" spans="1:12" ht="15.75">
      <c r="A255" s="78"/>
      <c r="B255" s="76"/>
      <c r="C255" s="76"/>
      <c r="D255" s="75"/>
      <c r="E255" s="75"/>
      <c r="F255" s="75"/>
      <c r="G255" s="75"/>
      <c r="H255" s="75"/>
      <c r="I255" s="75"/>
      <c r="J255" s="75"/>
      <c r="K255" s="79"/>
      <c r="L255" s="79"/>
    </row>
    <row r="256" spans="1:12" ht="15.75">
      <c r="A256" s="78"/>
      <c r="B256" s="76"/>
      <c r="C256" s="76"/>
      <c r="D256" s="75"/>
      <c r="E256" s="75"/>
      <c r="F256" s="75"/>
      <c r="G256" s="75"/>
      <c r="H256" s="75"/>
      <c r="I256" s="75"/>
      <c r="J256" s="75"/>
      <c r="K256" s="79"/>
      <c r="L256" s="79"/>
    </row>
    <row r="257" spans="1:12" ht="15.75">
      <c r="A257" s="78"/>
      <c r="B257" s="76"/>
      <c r="C257" s="76"/>
      <c r="D257" s="75"/>
      <c r="E257" s="75"/>
      <c r="F257" s="75"/>
      <c r="G257" s="75"/>
      <c r="H257" s="75"/>
      <c r="I257" s="75"/>
      <c r="J257" s="75"/>
      <c r="K257" s="79"/>
      <c r="L257" s="79"/>
    </row>
    <row r="258" spans="1:12" ht="15.75">
      <c r="A258" s="78"/>
      <c r="B258" s="76"/>
      <c r="C258" s="76"/>
      <c r="D258" s="75"/>
      <c r="E258" s="75"/>
      <c r="F258" s="75"/>
      <c r="G258" s="75"/>
      <c r="H258" s="75"/>
      <c r="I258" s="75"/>
      <c r="J258" s="75"/>
      <c r="K258" s="79"/>
      <c r="L258" s="79"/>
    </row>
    <row r="259" spans="1:12" ht="15.75">
      <c r="A259" s="78"/>
      <c r="B259" s="76"/>
      <c r="C259" s="76"/>
      <c r="D259" s="75"/>
      <c r="E259" s="75"/>
      <c r="F259" s="75"/>
      <c r="G259" s="75"/>
      <c r="H259" s="75"/>
      <c r="I259" s="75"/>
      <c r="J259" s="75"/>
      <c r="K259" s="79"/>
      <c r="L259" s="79"/>
    </row>
    <row r="260" spans="1:12" ht="15.75">
      <c r="A260" s="78"/>
      <c r="B260" s="76"/>
      <c r="C260" s="76"/>
      <c r="D260" s="75"/>
      <c r="E260" s="75"/>
      <c r="F260" s="75"/>
      <c r="G260" s="75"/>
      <c r="H260" s="75"/>
      <c r="I260" s="75"/>
      <c r="J260" s="75"/>
      <c r="K260" s="79"/>
      <c r="L260" s="79"/>
    </row>
    <row r="261" spans="1:12" ht="15.75">
      <c r="A261" s="78"/>
      <c r="B261" s="76"/>
      <c r="C261" s="76"/>
      <c r="D261" s="75"/>
      <c r="E261" s="75"/>
      <c r="F261" s="75"/>
      <c r="G261" s="75"/>
      <c r="H261" s="75"/>
      <c r="I261" s="75"/>
      <c r="J261" s="75"/>
      <c r="K261" s="79"/>
      <c r="L261" s="79"/>
    </row>
    <row r="262" spans="1:12" ht="15.75">
      <c r="A262" s="78"/>
      <c r="B262" s="76"/>
      <c r="C262" s="76"/>
      <c r="D262" s="75"/>
      <c r="E262" s="75"/>
      <c r="F262" s="75"/>
      <c r="G262" s="75"/>
      <c r="H262" s="75"/>
      <c r="I262" s="75"/>
      <c r="J262" s="75"/>
      <c r="K262" s="79"/>
      <c r="L262" s="79"/>
    </row>
    <row r="263" spans="1:12" ht="15.75">
      <c r="A263" s="78"/>
      <c r="B263" s="76"/>
      <c r="C263" s="76"/>
      <c r="D263" s="75"/>
      <c r="E263" s="75"/>
      <c r="F263" s="75"/>
      <c r="G263" s="75"/>
      <c r="H263" s="75"/>
      <c r="I263" s="75"/>
      <c r="J263" s="75"/>
      <c r="K263" s="79"/>
      <c r="L263" s="79"/>
    </row>
    <row r="264" spans="1:12" ht="15.75">
      <c r="A264" s="78"/>
      <c r="B264" s="76"/>
      <c r="C264" s="76"/>
      <c r="D264" s="75"/>
      <c r="E264" s="75"/>
      <c r="F264" s="75"/>
      <c r="G264" s="75"/>
      <c r="H264" s="75"/>
      <c r="I264" s="75"/>
      <c r="J264" s="75"/>
      <c r="K264" s="79"/>
      <c r="L264" s="79"/>
    </row>
    <row r="265" spans="1:12" ht="15.75">
      <c r="A265" s="78"/>
      <c r="B265" s="76"/>
      <c r="C265" s="76"/>
      <c r="D265" s="75"/>
      <c r="E265" s="75"/>
      <c r="F265" s="75"/>
      <c r="G265" s="75"/>
      <c r="H265" s="75"/>
      <c r="I265" s="75"/>
      <c r="J265" s="75"/>
      <c r="K265" s="79"/>
      <c r="L265" s="79"/>
    </row>
    <row r="266" spans="1:12" ht="15.75">
      <c r="A266" s="78"/>
      <c r="B266" s="76"/>
      <c r="C266" s="76"/>
      <c r="D266" s="75"/>
      <c r="E266" s="75"/>
      <c r="F266" s="75"/>
      <c r="G266" s="75"/>
      <c r="H266" s="75"/>
      <c r="I266" s="75"/>
      <c r="J266" s="75"/>
      <c r="K266" s="79"/>
      <c r="L266" s="79"/>
    </row>
    <row r="267" spans="1:12" ht="15.75">
      <c r="A267" s="78"/>
      <c r="B267" s="76"/>
      <c r="C267" s="76"/>
      <c r="D267" s="75"/>
      <c r="E267" s="75"/>
      <c r="F267" s="75"/>
      <c r="G267" s="75"/>
      <c r="H267" s="75"/>
      <c r="I267" s="75"/>
      <c r="J267" s="75"/>
      <c r="K267" s="79"/>
      <c r="L267" s="79"/>
    </row>
    <row r="268" spans="1:12" ht="15.75">
      <c r="A268" s="78"/>
      <c r="B268" s="76"/>
      <c r="C268" s="76"/>
      <c r="D268" s="75"/>
      <c r="E268" s="75"/>
      <c r="F268" s="75"/>
      <c r="G268" s="75"/>
      <c r="H268" s="75"/>
      <c r="I268" s="75"/>
      <c r="J268" s="75"/>
      <c r="K268" s="79"/>
      <c r="L268" s="79"/>
    </row>
    <row r="269" spans="1:12" ht="15.75">
      <c r="A269" s="78"/>
      <c r="B269" s="76"/>
      <c r="C269" s="76"/>
      <c r="D269" s="75"/>
      <c r="E269" s="75"/>
      <c r="F269" s="75"/>
      <c r="G269" s="75"/>
      <c r="H269" s="75"/>
      <c r="I269" s="75"/>
      <c r="J269" s="75"/>
      <c r="K269" s="79"/>
      <c r="L269" s="79"/>
    </row>
    <row r="270" spans="1:12" ht="15.75">
      <c r="A270" s="78"/>
      <c r="B270" s="76"/>
      <c r="C270" s="76"/>
      <c r="D270" s="75"/>
      <c r="E270" s="75"/>
      <c r="F270" s="75"/>
      <c r="G270" s="75"/>
      <c r="H270" s="75"/>
      <c r="I270" s="75"/>
      <c r="J270" s="75"/>
      <c r="K270" s="79"/>
      <c r="L270" s="79"/>
    </row>
    <row r="271" spans="1:12" ht="15.75">
      <c r="A271" s="78"/>
      <c r="B271" s="76"/>
      <c r="C271" s="76"/>
      <c r="D271" s="75"/>
      <c r="E271" s="75"/>
      <c r="F271" s="75"/>
      <c r="G271" s="75"/>
      <c r="H271" s="75"/>
      <c r="I271" s="75"/>
      <c r="J271" s="75"/>
      <c r="K271" s="79"/>
      <c r="L271" s="79"/>
    </row>
    <row r="272" spans="1:12" ht="15.75">
      <c r="A272" s="78"/>
      <c r="B272" s="76"/>
      <c r="C272" s="76"/>
      <c r="D272" s="75"/>
      <c r="E272" s="75"/>
      <c r="F272" s="75"/>
      <c r="G272" s="75"/>
      <c r="H272" s="75"/>
      <c r="I272" s="75"/>
      <c r="J272" s="75"/>
      <c r="K272" s="79"/>
      <c r="L272" s="79"/>
    </row>
    <row r="273" spans="1:12" ht="15.75">
      <c r="A273" s="78"/>
      <c r="B273" s="76"/>
      <c r="C273" s="76"/>
      <c r="D273" s="75"/>
      <c r="E273" s="75"/>
      <c r="F273" s="75"/>
      <c r="G273" s="75"/>
      <c r="H273" s="75"/>
      <c r="I273" s="75"/>
      <c r="J273" s="75"/>
      <c r="K273" s="79"/>
      <c r="L273" s="79"/>
    </row>
    <row r="274" spans="1:12" ht="15.75">
      <c r="A274" s="78"/>
      <c r="B274" s="76"/>
      <c r="C274" s="76"/>
      <c r="D274" s="75"/>
      <c r="E274" s="75"/>
      <c r="F274" s="75"/>
      <c r="G274" s="75"/>
      <c r="H274" s="75"/>
      <c r="I274" s="75"/>
      <c r="J274" s="75"/>
      <c r="K274" s="79"/>
      <c r="L274" s="79"/>
    </row>
    <row r="275" spans="1:12" ht="15.75">
      <c r="A275" s="78"/>
      <c r="B275" s="76"/>
      <c r="C275" s="76"/>
      <c r="D275" s="75"/>
      <c r="E275" s="75"/>
      <c r="F275" s="75"/>
      <c r="G275" s="75"/>
      <c r="H275" s="75"/>
      <c r="I275" s="75"/>
      <c r="J275" s="75"/>
      <c r="K275" s="79"/>
      <c r="L275" s="79"/>
    </row>
    <row r="276" spans="1:12" ht="15.75">
      <c r="A276" s="78"/>
      <c r="B276" s="76"/>
      <c r="C276" s="76"/>
      <c r="D276" s="75"/>
      <c r="E276" s="75"/>
      <c r="F276" s="75"/>
      <c r="G276" s="75"/>
      <c r="H276" s="75"/>
      <c r="I276" s="75"/>
      <c r="J276" s="75"/>
      <c r="K276" s="79"/>
      <c r="L276" s="79"/>
    </row>
    <row r="277" spans="1:12" ht="15.75">
      <c r="A277" s="78"/>
      <c r="B277" s="76"/>
      <c r="C277" s="76"/>
      <c r="D277" s="75"/>
      <c r="E277" s="75"/>
      <c r="F277" s="75"/>
      <c r="G277" s="75"/>
      <c r="H277" s="75"/>
      <c r="I277" s="75"/>
      <c r="J277" s="75"/>
      <c r="K277" s="79"/>
      <c r="L277" s="79"/>
    </row>
    <row r="278" spans="1:12" ht="15.75">
      <c r="A278" s="78"/>
      <c r="B278" s="76"/>
      <c r="C278" s="76"/>
      <c r="D278" s="75"/>
      <c r="E278" s="75"/>
      <c r="F278" s="75"/>
      <c r="G278" s="75"/>
      <c r="H278" s="75"/>
      <c r="I278" s="75"/>
      <c r="J278" s="75"/>
      <c r="K278" s="79"/>
      <c r="L278" s="79"/>
    </row>
    <row r="279" spans="1:12" ht="15.75">
      <c r="A279" s="78"/>
      <c r="B279" s="76"/>
      <c r="C279" s="76"/>
      <c r="D279" s="75"/>
      <c r="E279" s="75"/>
      <c r="F279" s="75"/>
      <c r="G279" s="75"/>
      <c r="H279" s="75"/>
      <c r="I279" s="75"/>
      <c r="J279" s="75"/>
      <c r="K279" s="79"/>
      <c r="L279" s="79"/>
    </row>
    <row r="280" spans="1:12" ht="15.75">
      <c r="A280" s="78"/>
      <c r="B280" s="76"/>
      <c r="C280" s="76"/>
      <c r="D280" s="75"/>
      <c r="E280" s="75"/>
      <c r="F280" s="75"/>
      <c r="G280" s="75"/>
      <c r="H280" s="75"/>
      <c r="I280" s="75"/>
      <c r="J280" s="75"/>
      <c r="K280" s="79"/>
      <c r="L280" s="79"/>
    </row>
    <row r="281" spans="1:12" ht="15.75">
      <c r="A281" s="78"/>
      <c r="B281" s="76"/>
      <c r="C281" s="76"/>
      <c r="D281" s="75"/>
      <c r="E281" s="75"/>
      <c r="F281" s="75"/>
      <c r="G281" s="75"/>
      <c r="H281" s="75"/>
      <c r="I281" s="75"/>
      <c r="J281" s="75"/>
      <c r="K281" s="79"/>
      <c r="L281" s="79"/>
    </row>
    <row r="282" spans="1:12" ht="15.75">
      <c r="A282" s="78"/>
      <c r="B282" s="76"/>
      <c r="C282" s="76"/>
      <c r="D282" s="75"/>
      <c r="E282" s="75"/>
      <c r="F282" s="75"/>
      <c r="G282" s="75"/>
      <c r="H282" s="75"/>
      <c r="I282" s="75"/>
      <c r="J282" s="75"/>
      <c r="K282" s="79"/>
      <c r="L282" s="79"/>
    </row>
    <row r="283" spans="1:12" ht="15.75">
      <c r="A283" s="78"/>
      <c r="B283" s="76"/>
      <c r="C283" s="76"/>
      <c r="D283" s="75"/>
      <c r="E283" s="75"/>
      <c r="F283" s="75"/>
      <c r="G283" s="75"/>
      <c r="H283" s="75"/>
      <c r="I283" s="75"/>
      <c r="J283" s="75"/>
      <c r="K283" s="79"/>
      <c r="L283" s="79"/>
    </row>
    <row r="284" spans="1:12" ht="15.75">
      <c r="A284" s="78"/>
      <c r="B284" s="76"/>
      <c r="C284" s="76"/>
      <c r="D284" s="75"/>
      <c r="E284" s="75"/>
      <c r="F284" s="75"/>
      <c r="G284" s="75"/>
      <c r="H284" s="75"/>
      <c r="I284" s="75"/>
      <c r="J284" s="75"/>
      <c r="K284" s="79"/>
      <c r="L284" s="79"/>
    </row>
    <row r="285" spans="1:12" ht="15.75">
      <c r="A285" s="78"/>
      <c r="B285" s="76"/>
      <c r="C285" s="76"/>
      <c r="D285" s="75"/>
      <c r="E285" s="75"/>
      <c r="F285" s="75"/>
      <c r="G285" s="75"/>
      <c r="H285" s="75"/>
      <c r="I285" s="75"/>
      <c r="J285" s="75"/>
      <c r="K285" s="79"/>
      <c r="L285" s="79"/>
    </row>
    <row r="286" spans="1:12" ht="15.75">
      <c r="A286" s="78"/>
      <c r="B286" s="76"/>
      <c r="C286" s="76"/>
      <c r="D286" s="75"/>
      <c r="E286" s="75"/>
      <c r="F286" s="75"/>
      <c r="G286" s="75"/>
      <c r="H286" s="75"/>
      <c r="I286" s="75"/>
      <c r="J286" s="75"/>
      <c r="K286" s="79"/>
      <c r="L286" s="79"/>
    </row>
    <row r="287" spans="1:12" ht="15.75">
      <c r="A287" s="78"/>
      <c r="B287" s="76"/>
      <c r="C287" s="76"/>
      <c r="D287" s="75"/>
      <c r="E287" s="75"/>
      <c r="F287" s="75"/>
      <c r="G287" s="75"/>
      <c r="H287" s="75"/>
      <c r="I287" s="75"/>
      <c r="J287" s="75"/>
      <c r="K287" s="79"/>
      <c r="L287" s="79"/>
    </row>
    <row r="288" spans="1:12" ht="15.75">
      <c r="A288" s="78"/>
      <c r="B288" s="76"/>
      <c r="C288" s="76"/>
      <c r="D288" s="75"/>
      <c r="E288" s="75"/>
      <c r="F288" s="75"/>
      <c r="G288" s="75"/>
      <c r="H288" s="75"/>
      <c r="I288" s="75"/>
      <c r="J288" s="75"/>
      <c r="K288" s="79"/>
      <c r="L288" s="79"/>
    </row>
    <row r="289" spans="1:12" ht="15.75">
      <c r="A289" s="78"/>
      <c r="B289" s="76"/>
      <c r="C289" s="76"/>
      <c r="D289" s="75"/>
      <c r="E289" s="75"/>
      <c r="F289" s="75"/>
      <c r="G289" s="75"/>
      <c r="H289" s="75"/>
      <c r="I289" s="75"/>
      <c r="J289" s="75"/>
      <c r="K289" s="79"/>
      <c r="L289" s="79"/>
    </row>
    <row r="290" spans="1:12" ht="15.75">
      <c r="A290" s="78"/>
      <c r="B290" s="76"/>
      <c r="C290" s="76"/>
      <c r="D290" s="75"/>
      <c r="E290" s="75"/>
      <c r="F290" s="75"/>
      <c r="G290" s="75"/>
      <c r="H290" s="75"/>
      <c r="I290" s="75"/>
      <c r="J290" s="75"/>
      <c r="K290" s="79"/>
      <c r="L290" s="79"/>
    </row>
    <row r="291" spans="1:12" ht="15.75">
      <c r="A291" s="78"/>
      <c r="B291" s="76"/>
      <c r="C291" s="76"/>
      <c r="D291" s="75"/>
      <c r="E291" s="75"/>
      <c r="F291" s="75"/>
      <c r="G291" s="75"/>
      <c r="H291" s="75"/>
      <c r="I291" s="75"/>
      <c r="J291" s="75"/>
      <c r="K291" s="79"/>
      <c r="L291" s="79"/>
    </row>
    <row r="292" spans="1:12" ht="15.75">
      <c r="A292" s="78"/>
      <c r="B292" s="76"/>
      <c r="C292" s="76"/>
      <c r="D292" s="75"/>
      <c r="E292" s="75"/>
      <c r="F292" s="75"/>
      <c r="G292" s="75"/>
      <c r="H292" s="75"/>
      <c r="I292" s="75"/>
      <c r="J292" s="75"/>
      <c r="K292" s="79"/>
      <c r="L292" s="79"/>
    </row>
    <row r="293" spans="1:12" ht="15.75">
      <c r="A293" s="78"/>
      <c r="B293" s="76"/>
      <c r="C293" s="76"/>
      <c r="D293" s="75"/>
      <c r="E293" s="75"/>
      <c r="F293" s="75"/>
      <c r="G293" s="75"/>
      <c r="H293" s="75"/>
      <c r="I293" s="75"/>
      <c r="J293" s="75"/>
      <c r="K293" s="79"/>
      <c r="L293" s="79"/>
    </row>
    <row r="294" spans="1:12" ht="15.75">
      <c r="A294" s="78"/>
      <c r="B294" s="76"/>
      <c r="C294" s="76"/>
      <c r="D294" s="75"/>
      <c r="E294" s="75"/>
      <c r="F294" s="75"/>
      <c r="G294" s="75"/>
      <c r="H294" s="75"/>
      <c r="I294" s="75"/>
      <c r="J294" s="75"/>
      <c r="K294" s="79"/>
      <c r="L294" s="79"/>
    </row>
    <row r="295" spans="1:12" ht="15.75">
      <c r="A295" s="78"/>
      <c r="B295" s="76"/>
      <c r="C295" s="76"/>
      <c r="D295" s="75"/>
      <c r="E295" s="75"/>
      <c r="F295" s="75"/>
      <c r="G295" s="75"/>
      <c r="H295" s="75"/>
      <c r="I295" s="75"/>
      <c r="J295" s="75"/>
      <c r="K295" s="79"/>
      <c r="L295" s="79"/>
    </row>
    <row r="296" spans="1:12" ht="15.75">
      <c r="A296" s="78"/>
      <c r="B296" s="76"/>
      <c r="C296" s="76"/>
      <c r="D296" s="75"/>
      <c r="E296" s="75"/>
      <c r="F296" s="75"/>
      <c r="G296" s="75"/>
      <c r="H296" s="75"/>
      <c r="I296" s="75"/>
      <c r="J296" s="75"/>
      <c r="K296" s="79"/>
      <c r="L296" s="79"/>
    </row>
    <row r="297" spans="1:12" ht="15.75">
      <c r="A297" s="78"/>
      <c r="B297" s="76"/>
      <c r="C297" s="76"/>
      <c r="D297" s="75"/>
      <c r="E297" s="75"/>
      <c r="F297" s="75"/>
      <c r="G297" s="75"/>
      <c r="H297" s="75"/>
      <c r="I297" s="75"/>
      <c r="J297" s="75"/>
      <c r="K297" s="79"/>
      <c r="L297" s="79"/>
    </row>
    <row r="298" spans="1:12" ht="15.75">
      <c r="A298" s="78"/>
      <c r="B298" s="76"/>
      <c r="C298" s="76"/>
      <c r="D298" s="75"/>
      <c r="E298" s="75"/>
      <c r="F298" s="75"/>
      <c r="G298" s="75"/>
      <c r="H298" s="75"/>
      <c r="I298" s="75"/>
      <c r="J298" s="75"/>
      <c r="K298" s="79"/>
      <c r="L298" s="79"/>
    </row>
    <row r="299" spans="1:12" ht="15.75">
      <c r="A299" s="78"/>
      <c r="B299" s="76"/>
      <c r="C299" s="76"/>
      <c r="D299" s="75"/>
      <c r="E299" s="75"/>
      <c r="F299" s="75"/>
      <c r="G299" s="75"/>
      <c r="H299" s="75"/>
      <c r="I299" s="75"/>
      <c r="J299" s="75"/>
      <c r="K299" s="79"/>
      <c r="L299" s="79"/>
    </row>
    <row r="300" spans="1:12" ht="15.75">
      <c r="A300" s="78"/>
      <c r="B300" s="76"/>
      <c r="C300" s="76"/>
      <c r="D300" s="75"/>
      <c r="E300" s="75"/>
      <c r="F300" s="75"/>
      <c r="G300" s="75"/>
      <c r="H300" s="75"/>
      <c r="I300" s="75"/>
      <c r="J300" s="75"/>
      <c r="K300" s="79"/>
      <c r="L300" s="79"/>
    </row>
  </sheetData>
  <mergeCells count="8">
    <mergeCell ref="K1:K2"/>
    <mergeCell ref="L1:L2"/>
    <mergeCell ref="A1:A2"/>
    <mergeCell ref="B1:B2"/>
    <mergeCell ref="C1:C2"/>
    <mergeCell ref="D1:D2"/>
    <mergeCell ref="E1:I1"/>
    <mergeCell ref="J1:J2"/>
  </mergeCells>
  <phoneticPr fontId="13"/>
  <conditionalFormatting sqref="J115:J118 J108:J112 J101:J105 J85:J89 J77:J78 J68:J72 J5 J187 J55:J64 J172:J174 J7:J10 J35:J38 J93:J99 J43 J16:J29 J176:J177 J45:J46 J66">
    <cfRule type="containsText" dxfId="380" priority="196" operator="containsText" text="danger">
      <formula>NOT(ISERROR(SEARCH("danger",J5)))</formula>
    </cfRule>
  </conditionalFormatting>
  <conditionalFormatting sqref="E5:I5 E187:I187 E12:I12 E118:I118 G117:I117 E117 E7:I10 E77:I78 E55:I64 E93:I99 E108:I112 E85:I89 E43:I43 E172:I174 E35:I38 E16:I29 E176:I177 E45:I46 E66:I66 E68:I72 E101:I105 E115:I116">
    <cfRule type="containsText" dxfId="379" priority="195" operator="containsText" text="○">
      <formula>NOT(ISERROR(SEARCH("○",E5)))</formula>
    </cfRule>
  </conditionalFormatting>
  <conditionalFormatting sqref="J8:J194">
    <cfRule type="containsText" dxfId="378" priority="194" operator="containsText" text="danger">
      <formula>NOT(ISERROR(SEARCH("danger",J8)))</formula>
    </cfRule>
  </conditionalFormatting>
  <conditionalFormatting sqref="E8:I194">
    <cfRule type="containsText" dxfId="377" priority="193" operator="containsText" text="○">
      <formula>NOT(ISERROR(SEARCH("○",E8)))</formula>
    </cfRule>
  </conditionalFormatting>
  <conditionalFormatting sqref="J12">
    <cfRule type="containsText" dxfId="376" priority="192" operator="containsText" text="danger">
      <formula>NOT(ISERROR(SEARCH("danger",J12)))</formula>
    </cfRule>
  </conditionalFormatting>
  <conditionalFormatting sqref="J90:J91">
    <cfRule type="containsText" dxfId="375" priority="191" operator="containsText" text="danger">
      <formula>NOT(ISERROR(SEARCH("danger",J90)))</formula>
    </cfRule>
  </conditionalFormatting>
  <conditionalFormatting sqref="E90:I91">
    <cfRule type="containsText" dxfId="374" priority="190" operator="containsText" text="○">
      <formula>NOT(ISERROR(SEARCH("○",E90)))</formula>
    </cfRule>
  </conditionalFormatting>
  <conditionalFormatting sqref="J129">
    <cfRule type="containsText" dxfId="373" priority="189" operator="containsText" text="danger">
      <formula>NOT(ISERROR(SEARCH("danger",J129)))</formula>
    </cfRule>
  </conditionalFormatting>
  <conditionalFormatting sqref="E129:I129">
    <cfRule type="containsText" dxfId="372" priority="188" operator="containsText" text="○">
      <formula>NOT(ISERROR(SEARCH("○",E129)))</formula>
    </cfRule>
  </conditionalFormatting>
  <conditionalFormatting sqref="J124:J128">
    <cfRule type="containsText" dxfId="371" priority="187" operator="containsText" text="danger">
      <formula>NOT(ISERROR(SEARCH("danger",J124)))</formula>
    </cfRule>
  </conditionalFormatting>
  <conditionalFormatting sqref="E124:I128">
    <cfRule type="containsText" dxfId="370" priority="186" operator="containsText" text="○">
      <formula>NOT(ISERROR(SEARCH("○",E124)))</formula>
    </cfRule>
  </conditionalFormatting>
  <conditionalFormatting sqref="J120:J123">
    <cfRule type="containsText" dxfId="369" priority="185" operator="containsText" text="danger">
      <formula>NOT(ISERROR(SEARCH("danger",J120)))</formula>
    </cfRule>
  </conditionalFormatting>
  <conditionalFormatting sqref="E120:I123">
    <cfRule type="containsText" dxfId="368" priority="184" operator="containsText" text="○">
      <formula>NOT(ISERROR(SEARCH("○",E120)))</formula>
    </cfRule>
  </conditionalFormatting>
  <conditionalFormatting sqref="J6">
    <cfRule type="containsText" dxfId="367" priority="183" operator="containsText" text="danger">
      <formula>NOT(ISERROR(SEARCH("danger",J6)))</formula>
    </cfRule>
  </conditionalFormatting>
  <conditionalFormatting sqref="E6:I6">
    <cfRule type="containsText" dxfId="366" priority="182" operator="containsText" text="○">
      <formula>NOT(ISERROR(SEARCH("○",E6)))</formula>
    </cfRule>
  </conditionalFormatting>
  <conditionalFormatting sqref="J178 J180">
    <cfRule type="containsText" dxfId="365" priority="181" operator="containsText" text="danger">
      <formula>NOT(ISERROR(SEARCH("danger",J178)))</formula>
    </cfRule>
  </conditionalFormatting>
  <conditionalFormatting sqref="E178:I178 E180:I180">
    <cfRule type="containsText" dxfId="364" priority="180" operator="containsText" text="○">
      <formula>NOT(ISERROR(SEARCH("○",E178)))</formula>
    </cfRule>
  </conditionalFormatting>
  <conditionalFormatting sqref="J13:J14">
    <cfRule type="containsText" dxfId="363" priority="179" operator="containsText" text="danger">
      <formula>NOT(ISERROR(SEARCH("danger",J13)))</formula>
    </cfRule>
  </conditionalFormatting>
  <conditionalFormatting sqref="E13:I14">
    <cfRule type="containsText" dxfId="362" priority="178" operator="containsText" text="○">
      <formula>NOT(ISERROR(SEARCH("○",E13)))</formula>
    </cfRule>
  </conditionalFormatting>
  <conditionalFormatting sqref="J73">
    <cfRule type="containsText" dxfId="361" priority="177" operator="containsText" text="danger">
      <formula>NOT(ISERROR(SEARCH("danger",J73)))</formula>
    </cfRule>
  </conditionalFormatting>
  <conditionalFormatting sqref="E73:I73">
    <cfRule type="containsText" dxfId="360" priority="176" operator="containsText" text="○">
      <formula>NOT(ISERROR(SEARCH("○",E73)))</formula>
    </cfRule>
  </conditionalFormatting>
  <conditionalFormatting sqref="J15">
    <cfRule type="containsText" dxfId="359" priority="175" operator="containsText" text="danger">
      <formula>NOT(ISERROR(SEARCH("danger",J15)))</formula>
    </cfRule>
  </conditionalFormatting>
  <conditionalFormatting sqref="E15:I15">
    <cfRule type="containsText" dxfId="358" priority="174" operator="containsText" text="○">
      <formula>NOT(ISERROR(SEARCH("○",E15)))</formula>
    </cfRule>
  </conditionalFormatting>
  <conditionalFormatting sqref="J74">
    <cfRule type="containsText" dxfId="357" priority="173" operator="containsText" text="danger">
      <formula>NOT(ISERROR(SEARCH("danger",J74)))</formula>
    </cfRule>
  </conditionalFormatting>
  <conditionalFormatting sqref="E74:I74">
    <cfRule type="containsText" dxfId="356" priority="172" operator="containsText" text="○">
      <formula>NOT(ISERROR(SEARCH("○",E74)))</formula>
    </cfRule>
  </conditionalFormatting>
  <conditionalFormatting sqref="J47">
    <cfRule type="containsText" dxfId="355" priority="171" operator="containsText" text="danger">
      <formula>NOT(ISERROR(SEARCH("danger",J47)))</formula>
    </cfRule>
  </conditionalFormatting>
  <conditionalFormatting sqref="E47:I47">
    <cfRule type="containsText" dxfId="354" priority="170" operator="containsText" text="○">
      <formula>NOT(ISERROR(SEARCH("○",E47)))</formula>
    </cfRule>
  </conditionalFormatting>
  <conditionalFormatting sqref="J50">
    <cfRule type="containsText" dxfId="353" priority="169" operator="containsText" text="danger">
      <formula>NOT(ISERROR(SEARCH("danger",J50)))</formula>
    </cfRule>
  </conditionalFormatting>
  <conditionalFormatting sqref="E50:I50">
    <cfRule type="containsText" dxfId="352" priority="168" operator="containsText" text="○">
      <formula>NOT(ISERROR(SEARCH("○",E50)))</formula>
    </cfRule>
  </conditionalFormatting>
  <conditionalFormatting sqref="J106">
    <cfRule type="containsText" dxfId="351" priority="167" operator="containsText" text="danger">
      <formula>NOT(ISERROR(SEARCH("danger",J106)))</formula>
    </cfRule>
  </conditionalFormatting>
  <conditionalFormatting sqref="F106:I106">
    <cfRule type="containsText" dxfId="350" priority="166" operator="containsText" text="○">
      <formula>NOT(ISERROR(SEARCH("○",F106)))</formula>
    </cfRule>
  </conditionalFormatting>
  <conditionalFormatting sqref="E106">
    <cfRule type="containsText" dxfId="349" priority="165" operator="containsText" text="○">
      <formula>NOT(ISERROR(SEARCH("○",E106)))</formula>
    </cfRule>
  </conditionalFormatting>
  <conditionalFormatting sqref="J48">
    <cfRule type="containsText" dxfId="348" priority="164" operator="containsText" text="danger">
      <formula>NOT(ISERROR(SEARCH("danger",J48)))</formula>
    </cfRule>
  </conditionalFormatting>
  <conditionalFormatting sqref="E48:I48">
    <cfRule type="containsText" dxfId="347" priority="163" operator="containsText" text="○">
      <formula>NOT(ISERROR(SEARCH("○",E48)))</formula>
    </cfRule>
  </conditionalFormatting>
  <conditionalFormatting sqref="F79:I79">
    <cfRule type="containsText" dxfId="346" priority="162" operator="containsText" text="○">
      <formula>NOT(ISERROR(SEARCH("○",F79)))</formula>
    </cfRule>
  </conditionalFormatting>
  <conditionalFormatting sqref="F80:I80">
    <cfRule type="containsText" dxfId="345" priority="161" operator="containsText" text="○">
      <formula>NOT(ISERROR(SEARCH("○",F80)))</formula>
    </cfRule>
  </conditionalFormatting>
  <conditionalFormatting sqref="F81:I81">
    <cfRule type="containsText" dxfId="344" priority="160" operator="containsText" text="○">
      <formula>NOT(ISERROR(SEARCH("○",F81)))</formula>
    </cfRule>
  </conditionalFormatting>
  <conditionalFormatting sqref="E82:I82 E79:E81">
    <cfRule type="containsText" dxfId="343" priority="159" operator="containsText" text="○">
      <formula>NOT(ISERROR(SEARCH("○",E79)))</formula>
    </cfRule>
  </conditionalFormatting>
  <conditionalFormatting sqref="J79">
    <cfRule type="containsText" dxfId="342" priority="158" operator="containsText" text="danger">
      <formula>NOT(ISERROR(SEARCH("danger",J79)))</formula>
    </cfRule>
  </conditionalFormatting>
  <conditionalFormatting sqref="J80">
    <cfRule type="containsText" dxfId="341" priority="157" operator="containsText" text="danger">
      <formula>NOT(ISERROR(SEARCH("danger",J80)))</formula>
    </cfRule>
  </conditionalFormatting>
  <conditionalFormatting sqref="J81">
    <cfRule type="containsText" dxfId="340" priority="156" operator="containsText" text="danger">
      <formula>NOT(ISERROR(SEARCH("danger",J81)))</formula>
    </cfRule>
  </conditionalFormatting>
  <conditionalFormatting sqref="J82">
    <cfRule type="containsText" dxfId="339" priority="155" operator="containsText" text="danger">
      <formula>NOT(ISERROR(SEARCH("danger",J82)))</formula>
    </cfRule>
  </conditionalFormatting>
  <conditionalFormatting sqref="J49">
    <cfRule type="containsText" dxfId="338" priority="154" operator="containsText" text="danger">
      <formula>NOT(ISERROR(SEARCH("danger",J49)))</formula>
    </cfRule>
  </conditionalFormatting>
  <conditionalFormatting sqref="E49:I49">
    <cfRule type="containsText" dxfId="337" priority="153" operator="containsText" text="○">
      <formula>NOT(ISERROR(SEARCH("○",E49)))</formula>
    </cfRule>
  </conditionalFormatting>
  <conditionalFormatting sqref="J39">
    <cfRule type="containsText" dxfId="336" priority="152" operator="containsText" text="danger">
      <formula>NOT(ISERROR(SEARCH("danger",J39)))</formula>
    </cfRule>
  </conditionalFormatting>
  <conditionalFormatting sqref="E39:I39">
    <cfRule type="containsText" dxfId="335" priority="151" operator="containsText" text="○">
      <formula>NOT(ISERROR(SEARCH("○",E39)))</formula>
    </cfRule>
  </conditionalFormatting>
  <conditionalFormatting sqref="E83:I83">
    <cfRule type="containsText" dxfId="334" priority="150" operator="containsText" text="○">
      <formula>NOT(ISERROR(SEARCH("○",E83)))</formula>
    </cfRule>
  </conditionalFormatting>
  <conditionalFormatting sqref="J83">
    <cfRule type="containsText" dxfId="333" priority="149" operator="containsText" text="danger">
      <formula>NOT(ISERROR(SEARCH("danger",J83)))</formula>
    </cfRule>
  </conditionalFormatting>
  <conditionalFormatting sqref="J30">
    <cfRule type="containsText" dxfId="332" priority="148" operator="containsText" text="danger">
      <formula>NOT(ISERROR(SEARCH("danger",J30)))</formula>
    </cfRule>
  </conditionalFormatting>
  <conditionalFormatting sqref="E30:I30">
    <cfRule type="containsText" dxfId="331" priority="147" operator="containsText" text="○">
      <formula>NOT(ISERROR(SEARCH("○",E30)))</formula>
    </cfRule>
  </conditionalFormatting>
  <conditionalFormatting sqref="J31">
    <cfRule type="containsText" dxfId="330" priority="146" operator="containsText" text="danger">
      <formula>NOT(ISERROR(SEARCH("danger",J31)))</formula>
    </cfRule>
  </conditionalFormatting>
  <conditionalFormatting sqref="E31:I31">
    <cfRule type="containsText" dxfId="329" priority="145" operator="containsText" text="○">
      <formula>NOT(ISERROR(SEARCH("○",E31)))</formula>
    </cfRule>
  </conditionalFormatting>
  <conditionalFormatting sqref="J32">
    <cfRule type="containsText" dxfId="328" priority="144" operator="containsText" text="danger">
      <formula>NOT(ISERROR(SEARCH("danger",J32)))</formula>
    </cfRule>
  </conditionalFormatting>
  <conditionalFormatting sqref="E32:I32">
    <cfRule type="containsText" dxfId="327" priority="143" operator="containsText" text="○">
      <formula>NOT(ISERROR(SEARCH("○",E32)))</formula>
    </cfRule>
  </conditionalFormatting>
  <conditionalFormatting sqref="J131">
    <cfRule type="containsText" dxfId="326" priority="142" operator="containsText" text="danger">
      <formula>NOT(ISERROR(SEARCH("danger",J131)))</formula>
    </cfRule>
  </conditionalFormatting>
  <conditionalFormatting sqref="E131:I131">
    <cfRule type="containsText" dxfId="325" priority="141" operator="containsText" text="○">
      <formula>NOT(ISERROR(SEARCH("○",E131)))</formula>
    </cfRule>
  </conditionalFormatting>
  <conditionalFormatting sqref="J132">
    <cfRule type="containsText" dxfId="324" priority="140" operator="containsText" text="danger">
      <formula>NOT(ISERROR(SEARCH("danger",J132)))</formula>
    </cfRule>
  </conditionalFormatting>
  <conditionalFormatting sqref="E132:I132">
    <cfRule type="containsText" dxfId="323" priority="139" operator="containsText" text="○">
      <formula>NOT(ISERROR(SEARCH("○",E132)))</formula>
    </cfRule>
  </conditionalFormatting>
  <conditionalFormatting sqref="J133">
    <cfRule type="containsText" dxfId="322" priority="138" operator="containsText" text="danger">
      <formula>NOT(ISERROR(SEARCH("danger",J133)))</formula>
    </cfRule>
  </conditionalFormatting>
  <conditionalFormatting sqref="E133:I133">
    <cfRule type="containsText" dxfId="321" priority="137" operator="containsText" text="○">
      <formula>NOT(ISERROR(SEARCH("○",E133)))</formula>
    </cfRule>
  </conditionalFormatting>
  <conditionalFormatting sqref="J134">
    <cfRule type="containsText" dxfId="320" priority="136" operator="containsText" text="danger">
      <formula>NOT(ISERROR(SEARCH("danger",J134)))</formula>
    </cfRule>
  </conditionalFormatting>
  <conditionalFormatting sqref="E134:I134">
    <cfRule type="containsText" dxfId="319" priority="135" operator="containsText" text="○">
      <formula>NOT(ISERROR(SEARCH("○",E134)))</formula>
    </cfRule>
  </conditionalFormatting>
  <conditionalFormatting sqref="J135">
    <cfRule type="containsText" dxfId="318" priority="134" operator="containsText" text="danger">
      <formula>NOT(ISERROR(SEARCH("danger",J135)))</formula>
    </cfRule>
  </conditionalFormatting>
  <conditionalFormatting sqref="E135:I135">
    <cfRule type="containsText" dxfId="317" priority="133" operator="containsText" text="○">
      <formula>NOT(ISERROR(SEARCH("○",E135)))</formula>
    </cfRule>
  </conditionalFormatting>
  <conditionalFormatting sqref="J136">
    <cfRule type="containsText" dxfId="316" priority="132" operator="containsText" text="danger">
      <formula>NOT(ISERROR(SEARCH("danger",J136)))</formula>
    </cfRule>
  </conditionalFormatting>
  <conditionalFormatting sqref="E136:I136">
    <cfRule type="containsText" dxfId="315" priority="131" operator="containsText" text="○">
      <formula>NOT(ISERROR(SEARCH("○",E136)))</formula>
    </cfRule>
  </conditionalFormatting>
  <conditionalFormatting sqref="J137">
    <cfRule type="containsText" dxfId="314" priority="130" operator="containsText" text="danger">
      <formula>NOT(ISERROR(SEARCH("danger",J137)))</formula>
    </cfRule>
  </conditionalFormatting>
  <conditionalFormatting sqref="E137:I137">
    <cfRule type="containsText" dxfId="313" priority="129" operator="containsText" text="○">
      <formula>NOT(ISERROR(SEARCH("○",E137)))</formula>
    </cfRule>
  </conditionalFormatting>
  <conditionalFormatting sqref="J138">
    <cfRule type="containsText" dxfId="312" priority="128" operator="containsText" text="danger">
      <formula>NOT(ISERROR(SEARCH("danger",J138)))</formula>
    </cfRule>
  </conditionalFormatting>
  <conditionalFormatting sqref="E138:I138">
    <cfRule type="containsText" dxfId="311" priority="127" operator="containsText" text="○">
      <formula>NOT(ISERROR(SEARCH("○",E138)))</formula>
    </cfRule>
  </conditionalFormatting>
  <conditionalFormatting sqref="J139">
    <cfRule type="containsText" dxfId="310" priority="126" operator="containsText" text="danger">
      <formula>NOT(ISERROR(SEARCH("danger",J139)))</formula>
    </cfRule>
  </conditionalFormatting>
  <conditionalFormatting sqref="E139:I139">
    <cfRule type="containsText" dxfId="309" priority="125" operator="containsText" text="○">
      <formula>NOT(ISERROR(SEARCH("○",E139)))</formula>
    </cfRule>
  </conditionalFormatting>
  <conditionalFormatting sqref="J140">
    <cfRule type="containsText" dxfId="308" priority="124" operator="containsText" text="danger">
      <formula>NOT(ISERROR(SEARCH("danger",J140)))</formula>
    </cfRule>
  </conditionalFormatting>
  <conditionalFormatting sqref="E140:I140">
    <cfRule type="containsText" dxfId="307" priority="123" operator="containsText" text="○">
      <formula>NOT(ISERROR(SEARCH("○",E140)))</formula>
    </cfRule>
  </conditionalFormatting>
  <conditionalFormatting sqref="J141">
    <cfRule type="containsText" dxfId="306" priority="122" operator="containsText" text="danger">
      <formula>NOT(ISERROR(SEARCH("danger",J141)))</formula>
    </cfRule>
  </conditionalFormatting>
  <conditionalFormatting sqref="E141:I141">
    <cfRule type="containsText" dxfId="305" priority="121" operator="containsText" text="○">
      <formula>NOT(ISERROR(SEARCH("○",E141)))</formula>
    </cfRule>
  </conditionalFormatting>
  <conditionalFormatting sqref="J142">
    <cfRule type="containsText" dxfId="304" priority="120" operator="containsText" text="danger">
      <formula>NOT(ISERROR(SEARCH("danger",J142)))</formula>
    </cfRule>
  </conditionalFormatting>
  <conditionalFormatting sqref="E142:I142">
    <cfRule type="containsText" dxfId="303" priority="119" operator="containsText" text="○">
      <formula>NOT(ISERROR(SEARCH("○",E142)))</formula>
    </cfRule>
  </conditionalFormatting>
  <conditionalFormatting sqref="J143">
    <cfRule type="containsText" dxfId="302" priority="118" operator="containsText" text="danger">
      <formula>NOT(ISERROR(SEARCH("danger",J143)))</formula>
    </cfRule>
  </conditionalFormatting>
  <conditionalFormatting sqref="E143:I143">
    <cfRule type="containsText" dxfId="301" priority="117" operator="containsText" text="○">
      <formula>NOT(ISERROR(SEARCH("○",E143)))</formula>
    </cfRule>
  </conditionalFormatting>
  <conditionalFormatting sqref="J144">
    <cfRule type="containsText" dxfId="300" priority="116" operator="containsText" text="danger">
      <formula>NOT(ISERROR(SEARCH("danger",J144)))</formula>
    </cfRule>
  </conditionalFormatting>
  <conditionalFormatting sqref="E144:I144">
    <cfRule type="containsText" dxfId="299" priority="115" operator="containsText" text="○">
      <formula>NOT(ISERROR(SEARCH("○",E144)))</formula>
    </cfRule>
  </conditionalFormatting>
  <conditionalFormatting sqref="J145">
    <cfRule type="containsText" dxfId="298" priority="114" operator="containsText" text="danger">
      <formula>NOT(ISERROR(SEARCH("danger",J145)))</formula>
    </cfRule>
  </conditionalFormatting>
  <conditionalFormatting sqref="E145:I145">
    <cfRule type="containsText" dxfId="297" priority="113" operator="containsText" text="○">
      <formula>NOT(ISERROR(SEARCH("○",E145)))</formula>
    </cfRule>
  </conditionalFormatting>
  <conditionalFormatting sqref="J146">
    <cfRule type="containsText" dxfId="296" priority="112" operator="containsText" text="danger">
      <formula>NOT(ISERROR(SEARCH("danger",J146)))</formula>
    </cfRule>
  </conditionalFormatting>
  <conditionalFormatting sqref="E146:I146">
    <cfRule type="containsText" dxfId="295" priority="111" operator="containsText" text="○">
      <formula>NOT(ISERROR(SEARCH("○",E146)))</formula>
    </cfRule>
  </conditionalFormatting>
  <conditionalFormatting sqref="J147">
    <cfRule type="containsText" dxfId="294" priority="110" operator="containsText" text="danger">
      <formula>NOT(ISERROR(SEARCH("danger",J147)))</formula>
    </cfRule>
  </conditionalFormatting>
  <conditionalFormatting sqref="E147:I147">
    <cfRule type="containsText" dxfId="293" priority="109" operator="containsText" text="○">
      <formula>NOT(ISERROR(SEARCH("○",E147)))</formula>
    </cfRule>
  </conditionalFormatting>
  <conditionalFormatting sqref="J169">
    <cfRule type="containsText" dxfId="292" priority="108" operator="containsText" text="danger">
      <formula>NOT(ISERROR(SEARCH("danger",J169)))</formula>
    </cfRule>
  </conditionalFormatting>
  <conditionalFormatting sqref="E169:I169">
    <cfRule type="containsText" dxfId="291" priority="107" operator="containsText" text="○">
      <formula>NOT(ISERROR(SEARCH("○",E169)))</formula>
    </cfRule>
  </conditionalFormatting>
  <conditionalFormatting sqref="J182:J186">
    <cfRule type="containsText" dxfId="290" priority="106" operator="containsText" text="danger">
      <formula>NOT(ISERROR(SEARCH("danger",J182)))</formula>
    </cfRule>
  </conditionalFormatting>
  <conditionalFormatting sqref="E182:I186">
    <cfRule type="containsText" dxfId="289" priority="105" operator="containsText" text="○">
      <formula>NOT(ISERROR(SEARCH("○",E182)))</formula>
    </cfRule>
  </conditionalFormatting>
  <conditionalFormatting sqref="J40">
    <cfRule type="containsText" dxfId="288" priority="104" operator="containsText" text="danger">
      <formula>NOT(ISERROR(SEARCH("danger",J40)))</formula>
    </cfRule>
  </conditionalFormatting>
  <conditionalFormatting sqref="E40:I40">
    <cfRule type="containsText" dxfId="287" priority="103" operator="containsText" text="○">
      <formula>NOT(ISERROR(SEARCH("○",E40)))</formula>
    </cfRule>
  </conditionalFormatting>
  <conditionalFormatting sqref="J75">
    <cfRule type="containsText" dxfId="286" priority="102" operator="containsText" text="danger">
      <formula>NOT(ISERROR(SEARCH("danger",J75)))</formula>
    </cfRule>
  </conditionalFormatting>
  <conditionalFormatting sqref="E75:I75">
    <cfRule type="containsText" dxfId="285" priority="101" operator="containsText" text="○">
      <formula>NOT(ISERROR(SEARCH("○",E75)))</formula>
    </cfRule>
  </conditionalFormatting>
  <conditionalFormatting sqref="J163:J168">
    <cfRule type="containsText" dxfId="284" priority="100" operator="containsText" text="danger">
      <formula>NOT(ISERROR(SEARCH("danger",J163)))</formula>
    </cfRule>
  </conditionalFormatting>
  <conditionalFormatting sqref="E163:I168">
    <cfRule type="containsText" dxfId="283" priority="99" operator="containsText" text="○">
      <formula>NOT(ISERROR(SEARCH("○",E163)))</formula>
    </cfRule>
  </conditionalFormatting>
  <conditionalFormatting sqref="J41">
    <cfRule type="containsText" dxfId="282" priority="98" operator="containsText" text="danger">
      <formula>NOT(ISERROR(SEARCH("danger",J41)))</formula>
    </cfRule>
  </conditionalFormatting>
  <conditionalFormatting sqref="E41:I41">
    <cfRule type="containsText" dxfId="281" priority="97" operator="containsText" text="○">
      <formula>NOT(ISERROR(SEARCH("○",E41)))</formula>
    </cfRule>
  </conditionalFormatting>
  <conditionalFormatting sqref="J175">
    <cfRule type="containsText" dxfId="280" priority="96" operator="containsText" text="danger">
      <formula>NOT(ISERROR(SEARCH("danger",J175)))</formula>
    </cfRule>
  </conditionalFormatting>
  <conditionalFormatting sqref="E175:I175">
    <cfRule type="containsText" dxfId="279" priority="95" operator="containsText" text="○">
      <formula>NOT(ISERROR(SEARCH("○",E175)))</formula>
    </cfRule>
  </conditionalFormatting>
  <conditionalFormatting sqref="J42">
    <cfRule type="containsText" dxfId="278" priority="94" operator="containsText" text="danger">
      <formula>NOT(ISERROR(SEARCH("danger",J42)))</formula>
    </cfRule>
  </conditionalFormatting>
  <conditionalFormatting sqref="E42:I42">
    <cfRule type="containsText" dxfId="277" priority="93" operator="containsText" text="○">
      <formula>NOT(ISERROR(SEARCH("○",E42)))</formula>
    </cfRule>
  </conditionalFormatting>
  <conditionalFormatting sqref="J179">
    <cfRule type="containsText" dxfId="276" priority="92" operator="containsText" text="danger">
      <formula>NOT(ISERROR(SEARCH("danger",J179)))</formula>
    </cfRule>
  </conditionalFormatting>
  <conditionalFormatting sqref="E179:I179">
    <cfRule type="containsText" dxfId="275" priority="91" operator="containsText" text="○">
      <formula>NOT(ISERROR(SEARCH("○",E179)))</formula>
    </cfRule>
  </conditionalFormatting>
  <conditionalFormatting sqref="J44">
    <cfRule type="containsText" dxfId="274" priority="90" operator="containsText" text="danger">
      <formula>NOT(ISERROR(SEARCH("danger",J44)))</formula>
    </cfRule>
  </conditionalFormatting>
  <conditionalFormatting sqref="E44:I44">
    <cfRule type="containsText" dxfId="273" priority="89" operator="containsText" text="○">
      <formula>NOT(ISERROR(SEARCH("○",E44)))</formula>
    </cfRule>
  </conditionalFormatting>
  <conditionalFormatting sqref="J65">
    <cfRule type="containsText" dxfId="272" priority="88" operator="containsText" text="danger">
      <formula>NOT(ISERROR(SEARCH("danger",J65)))</formula>
    </cfRule>
  </conditionalFormatting>
  <conditionalFormatting sqref="E65:I65">
    <cfRule type="containsText" dxfId="271" priority="87" operator="containsText" text="○">
      <formula>NOT(ISERROR(SEARCH("○",E65)))</formula>
    </cfRule>
  </conditionalFormatting>
  <conditionalFormatting sqref="J33">
    <cfRule type="containsText" dxfId="270" priority="82" operator="containsText" text="danger">
      <formula>NOT(ISERROR(SEARCH("danger",J33)))</formula>
    </cfRule>
  </conditionalFormatting>
  <conditionalFormatting sqref="E33:I33">
    <cfRule type="containsText" dxfId="269" priority="81" operator="containsText" text="○">
      <formula>NOT(ISERROR(SEARCH("○",E33)))</formula>
    </cfRule>
  </conditionalFormatting>
  <conditionalFormatting sqref="J34">
    <cfRule type="containsText" dxfId="268" priority="80" operator="containsText" text="danger">
      <formula>NOT(ISERROR(SEARCH("danger",J34)))</formula>
    </cfRule>
  </conditionalFormatting>
  <conditionalFormatting sqref="E34:I34">
    <cfRule type="containsText" dxfId="267" priority="79" operator="containsText" text="○">
      <formula>NOT(ISERROR(SEARCH("○",E34)))</formula>
    </cfRule>
  </conditionalFormatting>
  <conditionalFormatting sqref="J51">
    <cfRule type="containsText" dxfId="266" priority="78" operator="containsText" text="danger">
      <formula>NOT(ISERROR(SEARCH("danger",J51)))</formula>
    </cfRule>
  </conditionalFormatting>
  <conditionalFormatting sqref="E51:I51">
    <cfRule type="containsText" dxfId="265" priority="77" operator="containsText" text="○">
      <formula>NOT(ISERROR(SEARCH("○",E51)))</formula>
    </cfRule>
  </conditionalFormatting>
  <conditionalFormatting sqref="J52">
    <cfRule type="containsText" dxfId="264" priority="76" operator="containsText" text="danger">
      <formula>NOT(ISERROR(SEARCH("danger",J52)))</formula>
    </cfRule>
  </conditionalFormatting>
  <conditionalFormatting sqref="E52:I52">
    <cfRule type="containsText" dxfId="263" priority="75" operator="containsText" text="○">
      <formula>NOT(ISERROR(SEARCH("○",E52)))</formula>
    </cfRule>
  </conditionalFormatting>
  <conditionalFormatting sqref="J53">
    <cfRule type="containsText" dxfId="262" priority="74" operator="containsText" text="danger">
      <formula>NOT(ISERROR(SEARCH("danger",J53)))</formula>
    </cfRule>
  </conditionalFormatting>
  <conditionalFormatting sqref="E53:I53">
    <cfRule type="containsText" dxfId="261" priority="73" operator="containsText" text="○">
      <formula>NOT(ISERROR(SEARCH("○",E53)))</formula>
    </cfRule>
  </conditionalFormatting>
  <conditionalFormatting sqref="J54">
    <cfRule type="containsText" dxfId="260" priority="72" operator="containsText" text="danger">
      <formula>NOT(ISERROR(SEARCH("danger",J54)))</formula>
    </cfRule>
  </conditionalFormatting>
  <conditionalFormatting sqref="E54:I54">
    <cfRule type="containsText" dxfId="259" priority="71" operator="containsText" text="○">
      <formula>NOT(ISERROR(SEARCH("○",E54)))</formula>
    </cfRule>
  </conditionalFormatting>
  <conditionalFormatting sqref="J67">
    <cfRule type="containsText" dxfId="258" priority="70" operator="containsText" text="danger">
      <formula>NOT(ISERROR(SEARCH("danger",J67)))</formula>
    </cfRule>
  </conditionalFormatting>
  <conditionalFormatting sqref="E67:I67">
    <cfRule type="containsText" dxfId="257" priority="69" operator="containsText" text="○">
      <formula>NOT(ISERROR(SEARCH("○",E67)))</formula>
    </cfRule>
  </conditionalFormatting>
  <conditionalFormatting sqref="J76">
    <cfRule type="containsText" dxfId="256" priority="68" operator="containsText" text="danger">
      <formula>NOT(ISERROR(SEARCH("danger",J76)))</formula>
    </cfRule>
  </conditionalFormatting>
  <conditionalFormatting sqref="E76:I76">
    <cfRule type="containsText" dxfId="255" priority="67" operator="containsText" text="○">
      <formula>NOT(ISERROR(SEARCH("○",E76)))</formula>
    </cfRule>
  </conditionalFormatting>
  <conditionalFormatting sqref="J84">
    <cfRule type="containsText" dxfId="254" priority="66" operator="containsText" text="danger">
      <formula>NOT(ISERROR(SEARCH("danger",J84)))</formula>
    </cfRule>
  </conditionalFormatting>
  <conditionalFormatting sqref="E84:I84">
    <cfRule type="containsText" dxfId="253" priority="65" operator="containsText" text="○">
      <formula>NOT(ISERROR(SEARCH("○",E84)))</formula>
    </cfRule>
  </conditionalFormatting>
  <conditionalFormatting sqref="J92">
    <cfRule type="containsText" dxfId="252" priority="64" operator="containsText" text="danger">
      <formula>NOT(ISERROR(SEARCH("danger",J92)))</formula>
    </cfRule>
  </conditionalFormatting>
  <conditionalFormatting sqref="E92:I92">
    <cfRule type="containsText" dxfId="251" priority="63" operator="containsText" text="○">
      <formula>NOT(ISERROR(SEARCH("○",E92)))</formula>
    </cfRule>
  </conditionalFormatting>
  <conditionalFormatting sqref="J100">
    <cfRule type="containsText" dxfId="250" priority="62" operator="containsText" text="danger">
      <formula>NOT(ISERROR(SEARCH("danger",J100)))</formula>
    </cfRule>
  </conditionalFormatting>
  <conditionalFormatting sqref="E100:I100">
    <cfRule type="containsText" dxfId="249" priority="61" operator="containsText" text="○">
      <formula>NOT(ISERROR(SEARCH("○",E100)))</formula>
    </cfRule>
  </conditionalFormatting>
  <conditionalFormatting sqref="J107">
    <cfRule type="containsText" dxfId="248" priority="60" operator="containsText" text="danger">
      <formula>NOT(ISERROR(SEARCH("danger",J107)))</formula>
    </cfRule>
  </conditionalFormatting>
  <conditionalFormatting sqref="E107:I107">
    <cfRule type="containsText" dxfId="247" priority="59" operator="containsText" text="○">
      <formula>NOT(ISERROR(SEARCH("○",E107)))</formula>
    </cfRule>
  </conditionalFormatting>
  <conditionalFormatting sqref="J114">
    <cfRule type="containsText" dxfId="246" priority="58" operator="containsText" text="danger">
      <formula>NOT(ISERROR(SEARCH("danger",J114)))</formula>
    </cfRule>
  </conditionalFormatting>
  <conditionalFormatting sqref="E114:I114">
    <cfRule type="containsText" dxfId="245" priority="57" operator="containsText" text="○">
      <formula>NOT(ISERROR(SEARCH("○",E114)))</formula>
    </cfRule>
  </conditionalFormatting>
  <conditionalFormatting sqref="J113">
    <cfRule type="containsText" dxfId="244" priority="56" operator="containsText" text="danger">
      <formula>NOT(ISERROR(SEARCH("danger",J113)))</formula>
    </cfRule>
  </conditionalFormatting>
  <conditionalFormatting sqref="E113:I113">
    <cfRule type="containsText" dxfId="243" priority="55" operator="containsText" text="○">
      <formula>NOT(ISERROR(SEARCH("○",E113)))</formula>
    </cfRule>
  </conditionalFormatting>
  <conditionalFormatting sqref="J119">
    <cfRule type="containsText" dxfId="242" priority="54" operator="containsText" text="danger">
      <formula>NOT(ISERROR(SEARCH("danger",J119)))</formula>
    </cfRule>
  </conditionalFormatting>
  <conditionalFormatting sqref="E119:I119">
    <cfRule type="containsText" dxfId="241" priority="53" operator="containsText" text="○">
      <formula>NOT(ISERROR(SEARCH("○",E119)))</formula>
    </cfRule>
  </conditionalFormatting>
  <conditionalFormatting sqref="J130">
    <cfRule type="containsText" dxfId="240" priority="52" operator="containsText" text="danger">
      <formula>NOT(ISERROR(SEARCH("danger",J130)))</formula>
    </cfRule>
  </conditionalFormatting>
  <conditionalFormatting sqref="E130:I130">
    <cfRule type="containsText" dxfId="239" priority="51" operator="containsText" text="○">
      <formula>NOT(ISERROR(SEARCH("○",E130)))</formula>
    </cfRule>
  </conditionalFormatting>
  <conditionalFormatting sqref="J148">
    <cfRule type="containsText" dxfId="238" priority="50" operator="containsText" text="danger">
      <formula>NOT(ISERROR(SEARCH("danger",J148)))</formula>
    </cfRule>
  </conditionalFormatting>
  <conditionalFormatting sqref="E148:I148">
    <cfRule type="containsText" dxfId="237" priority="49" operator="containsText" text="○">
      <formula>NOT(ISERROR(SEARCH("○",E148)))</formula>
    </cfRule>
  </conditionalFormatting>
  <conditionalFormatting sqref="J149">
    <cfRule type="containsText" dxfId="236" priority="48" operator="containsText" text="danger">
      <formula>NOT(ISERROR(SEARCH("danger",J149)))</formula>
    </cfRule>
  </conditionalFormatting>
  <conditionalFormatting sqref="E149:I149">
    <cfRule type="containsText" dxfId="235" priority="47" operator="containsText" text="○">
      <formula>NOT(ISERROR(SEARCH("○",E149)))</formula>
    </cfRule>
  </conditionalFormatting>
  <conditionalFormatting sqref="J150">
    <cfRule type="containsText" dxfId="234" priority="46" operator="containsText" text="danger">
      <formula>NOT(ISERROR(SEARCH("danger",J150)))</formula>
    </cfRule>
  </conditionalFormatting>
  <conditionalFormatting sqref="E150:I150">
    <cfRule type="containsText" dxfId="233" priority="45" operator="containsText" text="○">
      <formula>NOT(ISERROR(SEARCH("○",E150)))</formula>
    </cfRule>
  </conditionalFormatting>
  <conditionalFormatting sqref="J152">
    <cfRule type="containsText" dxfId="232" priority="44" operator="containsText" text="danger">
      <formula>NOT(ISERROR(SEARCH("danger",J152)))</formula>
    </cfRule>
  </conditionalFormatting>
  <conditionalFormatting sqref="E152:I152">
    <cfRule type="containsText" dxfId="231" priority="43" operator="containsText" text="○">
      <formula>NOT(ISERROR(SEARCH("○",E152)))</formula>
    </cfRule>
  </conditionalFormatting>
  <conditionalFormatting sqref="J151">
    <cfRule type="containsText" dxfId="230" priority="42" operator="containsText" text="danger">
      <formula>NOT(ISERROR(SEARCH("danger",J151)))</formula>
    </cfRule>
  </conditionalFormatting>
  <conditionalFormatting sqref="E151:I151">
    <cfRule type="containsText" dxfId="229" priority="41" operator="containsText" text="○">
      <formula>NOT(ISERROR(SEARCH("○",E151)))</formula>
    </cfRule>
  </conditionalFormatting>
  <conditionalFormatting sqref="J153">
    <cfRule type="containsText" dxfId="228" priority="40" operator="containsText" text="danger">
      <formula>NOT(ISERROR(SEARCH("danger",J153)))</formula>
    </cfRule>
  </conditionalFormatting>
  <conditionalFormatting sqref="E153:I153">
    <cfRule type="containsText" dxfId="227" priority="39" operator="containsText" text="○">
      <formula>NOT(ISERROR(SEARCH("○",E153)))</formula>
    </cfRule>
  </conditionalFormatting>
  <conditionalFormatting sqref="J154">
    <cfRule type="containsText" dxfId="226" priority="38" operator="containsText" text="danger">
      <formula>NOT(ISERROR(SEARCH("danger",J154)))</formula>
    </cfRule>
  </conditionalFormatting>
  <conditionalFormatting sqref="E154:I154">
    <cfRule type="containsText" dxfId="225" priority="37" operator="containsText" text="○">
      <formula>NOT(ISERROR(SEARCH("○",E154)))</formula>
    </cfRule>
  </conditionalFormatting>
  <conditionalFormatting sqref="J155">
    <cfRule type="containsText" dxfId="224" priority="36" operator="containsText" text="danger">
      <formula>NOT(ISERROR(SEARCH("danger",J155)))</formula>
    </cfRule>
  </conditionalFormatting>
  <conditionalFormatting sqref="E155:I155">
    <cfRule type="containsText" dxfId="223" priority="35" operator="containsText" text="○">
      <formula>NOT(ISERROR(SEARCH("○",E155)))</formula>
    </cfRule>
  </conditionalFormatting>
  <conditionalFormatting sqref="J156">
    <cfRule type="containsText" dxfId="222" priority="34" operator="containsText" text="danger">
      <formula>NOT(ISERROR(SEARCH("danger",J156)))</formula>
    </cfRule>
  </conditionalFormatting>
  <conditionalFormatting sqref="E156:I156">
    <cfRule type="containsText" dxfId="221" priority="33" operator="containsText" text="○">
      <formula>NOT(ISERROR(SEARCH("○",E156)))</formula>
    </cfRule>
  </conditionalFormatting>
  <conditionalFormatting sqref="J157">
    <cfRule type="containsText" dxfId="220" priority="32" operator="containsText" text="danger">
      <formula>NOT(ISERROR(SEARCH("danger",J157)))</formula>
    </cfRule>
  </conditionalFormatting>
  <conditionalFormatting sqref="E157:I157">
    <cfRule type="containsText" dxfId="219" priority="31" operator="containsText" text="○">
      <formula>NOT(ISERROR(SEARCH("○",E157)))</formula>
    </cfRule>
  </conditionalFormatting>
  <conditionalFormatting sqref="J158">
    <cfRule type="containsText" dxfId="218" priority="30" operator="containsText" text="danger">
      <formula>NOT(ISERROR(SEARCH("danger",J158)))</formula>
    </cfRule>
  </conditionalFormatting>
  <conditionalFormatting sqref="E158:I158">
    <cfRule type="containsText" dxfId="217" priority="29" operator="containsText" text="○">
      <formula>NOT(ISERROR(SEARCH("○",E158)))</formula>
    </cfRule>
  </conditionalFormatting>
  <conditionalFormatting sqref="J159">
    <cfRule type="containsText" dxfId="216" priority="28" operator="containsText" text="danger">
      <formula>NOT(ISERROR(SEARCH("danger",J159)))</formula>
    </cfRule>
  </conditionalFormatting>
  <conditionalFormatting sqref="E159:I159">
    <cfRule type="containsText" dxfId="215" priority="27" operator="containsText" text="○">
      <formula>NOT(ISERROR(SEARCH("○",E159)))</formula>
    </cfRule>
  </conditionalFormatting>
  <conditionalFormatting sqref="J160">
    <cfRule type="containsText" dxfId="214" priority="26" operator="containsText" text="danger">
      <formula>NOT(ISERROR(SEARCH("danger",J160)))</formula>
    </cfRule>
  </conditionalFormatting>
  <conditionalFormatting sqref="E160:I160">
    <cfRule type="containsText" dxfId="213" priority="25" operator="containsText" text="○">
      <formula>NOT(ISERROR(SEARCH("○",E160)))</formula>
    </cfRule>
  </conditionalFormatting>
  <conditionalFormatting sqref="J161">
    <cfRule type="containsText" dxfId="212" priority="24" operator="containsText" text="danger">
      <formula>NOT(ISERROR(SEARCH("danger",J161)))</formula>
    </cfRule>
  </conditionalFormatting>
  <conditionalFormatting sqref="E161:I161">
    <cfRule type="containsText" dxfId="211" priority="23" operator="containsText" text="○">
      <formula>NOT(ISERROR(SEARCH("○",E161)))</formula>
    </cfRule>
  </conditionalFormatting>
  <conditionalFormatting sqref="J162">
    <cfRule type="containsText" dxfId="210" priority="22" operator="containsText" text="danger">
      <formula>NOT(ISERROR(SEARCH("danger",J162)))</formula>
    </cfRule>
  </conditionalFormatting>
  <conditionalFormatting sqref="E162:I162">
    <cfRule type="containsText" dxfId="209" priority="21" operator="containsText" text="○">
      <formula>NOT(ISERROR(SEARCH("○",E162)))</formula>
    </cfRule>
  </conditionalFormatting>
  <conditionalFormatting sqref="J170">
    <cfRule type="containsText" dxfId="208" priority="20" operator="containsText" text="danger">
      <formula>NOT(ISERROR(SEARCH("danger",J170)))</formula>
    </cfRule>
  </conditionalFormatting>
  <conditionalFormatting sqref="E170:I170">
    <cfRule type="containsText" dxfId="207" priority="19" operator="containsText" text="○">
      <formula>NOT(ISERROR(SEARCH("○",E170)))</formula>
    </cfRule>
  </conditionalFormatting>
  <conditionalFormatting sqref="J171">
    <cfRule type="containsText" dxfId="206" priority="18" operator="containsText" text="danger">
      <formula>NOT(ISERROR(SEARCH("danger",J171)))</formula>
    </cfRule>
  </conditionalFormatting>
  <conditionalFormatting sqref="E171:I171">
    <cfRule type="containsText" dxfId="205" priority="17" operator="containsText" text="○">
      <formula>NOT(ISERROR(SEARCH("○",E171)))</formula>
    </cfRule>
  </conditionalFormatting>
  <conditionalFormatting sqref="J181">
    <cfRule type="containsText" dxfId="204" priority="16" operator="containsText" text="danger">
      <formula>NOT(ISERROR(SEARCH("danger",J181)))</formula>
    </cfRule>
  </conditionalFormatting>
  <conditionalFormatting sqref="E181:I181">
    <cfRule type="containsText" dxfId="203" priority="15" operator="containsText" text="○">
      <formula>NOT(ISERROR(SEARCH("○",E181)))</formula>
    </cfRule>
  </conditionalFormatting>
  <conditionalFormatting sqref="J188">
    <cfRule type="containsText" dxfId="202" priority="14" operator="containsText" text="danger">
      <formula>NOT(ISERROR(SEARCH("danger",J188)))</formula>
    </cfRule>
  </conditionalFormatting>
  <conditionalFormatting sqref="E188:I188">
    <cfRule type="containsText" dxfId="201" priority="13" operator="containsText" text="○">
      <formula>NOT(ISERROR(SEARCH("○",E188)))</formula>
    </cfRule>
  </conditionalFormatting>
  <conditionalFormatting sqref="J3">
    <cfRule type="containsText" dxfId="200" priority="12" operator="containsText" text="danger">
      <formula>NOT(ISERROR(SEARCH("danger",J3)))</formula>
    </cfRule>
  </conditionalFormatting>
  <conditionalFormatting sqref="E3:I3">
    <cfRule type="containsText" dxfId="199" priority="11" operator="containsText" text="○">
      <formula>NOT(ISERROR(SEARCH("○",E3)))</formula>
    </cfRule>
  </conditionalFormatting>
  <conditionalFormatting sqref="J4">
    <cfRule type="containsText" dxfId="198" priority="10" operator="containsText" text="danger">
      <formula>NOT(ISERROR(SEARCH("danger",J4)))</formula>
    </cfRule>
  </conditionalFormatting>
  <conditionalFormatting sqref="E4:I4">
    <cfRule type="containsText" dxfId="197" priority="9" operator="containsText" text="○">
      <formula>NOT(ISERROR(SEARCH("○",E4)))</formula>
    </cfRule>
  </conditionalFormatting>
  <conditionalFormatting sqref="J195:J300">
    <cfRule type="containsText" dxfId="196" priority="4" operator="containsText" text="danger">
      <formula>NOT(ISERROR(SEARCH("danger",J195)))</formula>
    </cfRule>
  </conditionalFormatting>
  <conditionalFormatting sqref="E195:I300">
    <cfRule type="containsText" dxfId="195" priority="3" operator="containsText" text="○">
      <formula>NOT(ISERROR(SEARCH("○",E195)))</formula>
    </cfRule>
  </conditionalFormatting>
  <conditionalFormatting sqref="J195:J300">
    <cfRule type="containsText" dxfId="194" priority="2" operator="containsText" text="danger">
      <formula>NOT(ISERROR(SEARCH("danger",J195)))</formula>
    </cfRule>
  </conditionalFormatting>
  <conditionalFormatting sqref="E195:I300">
    <cfRule type="containsText" dxfId="193" priority="1" operator="containsText" text="○">
      <formula>NOT(ISERROR(SEARCH("○",E195)))</formula>
    </cfRule>
  </conditionalFormatting>
  <dataValidations count="2">
    <dataValidation type="list" allowBlank="1" showInputMessage="1" showErrorMessage="1" sqref="J3:J300" xr:uid="{AF831C99-DFCA-4205-90E1-700CD1FFAB19}">
      <formula1>"danger"</formula1>
    </dataValidation>
    <dataValidation type="list" allowBlank="1" showInputMessage="1" showErrorMessage="1" sqref="E3:I300" xr:uid="{E0F19270-D404-4D51-88FF-7BBDFEBEEF76}">
      <formula1>"○"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Utility</vt:lpstr>
      <vt:lpstr>CMD_DB</vt:lpstr>
      <vt:lpstr>BCT</vt:lpstr>
      <vt:lpstr>ブランク</vt:lpstr>
      <vt:lpstr>CMD_STRUCTURE</vt:lpstr>
      <vt:lpstr>CONV_TABLE</vt:lpstr>
      <vt:lpstr>Temp_CMD_DB</vt:lpstr>
      <vt:lpstr>Temp_BCT</vt:lpstr>
      <vt:lpstr>APIDName</vt:lpstr>
      <vt:lpstr>ParamNotationName</vt:lpstr>
      <vt:lpstr>ParamTypeName</vt:lpstr>
      <vt:lpstr>TargetName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das_dev</dc:creator>
  <cp:lastModifiedBy>Ryo</cp:lastModifiedBy>
  <cp:lastPrinted>2013-11-21T04:02:25Z</cp:lastPrinted>
  <dcterms:created xsi:type="dcterms:W3CDTF">2011-10-26T08:44:53Z</dcterms:created>
  <dcterms:modified xsi:type="dcterms:W3CDTF">2022-09-13T12:04:13Z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2945dfea-a3d1-4439-9e87-c16ad58992ca</vt:lpwstr>
  </property>
</Properties>
</file>